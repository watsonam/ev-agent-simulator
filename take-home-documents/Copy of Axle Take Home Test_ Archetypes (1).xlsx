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<sst xmlns="http://schemas.openxmlformats.org/spreadsheetml/2006/main" count="119" uniqueCount="78">
  <si>
    <t>#</t>
  </si>
  <si>
    <t>Name</t>
  </si>
  <si>
    <t>% of population</t>
  </si>
  <si>
    <t>Miles/yr</t>
  </si>
  <si>
    <t>Battery (kWh)</t>
  </si>
  <si>
    <t>Efficiency (mi/kWh)</t>
  </si>
  <si>
    <t>Plug-in frequency (per day)</t>
  </si>
  <si>
    <t>Charger kW</t>
  </si>
  <si>
    <t>Plug-in time</t>
  </si>
  <si>
    <t>Plug-out time</t>
  </si>
  <si>
    <t>Target SoC</t>
  </si>
  <si>
    <t>kWh/year</t>
  </si>
  <si>
    <t>kWh/plug-in</t>
  </si>
  <si>
    <t>Plug-in SoC</t>
  </si>
  <si>
    <t>SoC requirement</t>
  </si>
  <si>
    <t>Charging duration (hrs)</t>
  </si>
  <si>
    <t>Average (UK)</t>
  </si>
  <si>
    <t>Intelligent Octopus average</t>
  </si>
  <si>
    <t>Infrequent charging</t>
  </si>
  <si>
    <t>Infrequent driving</t>
  </si>
  <si>
    <t>Scheduled charging</t>
  </si>
  <si>
    <t>Always plugged-in</t>
  </si>
  <si>
    <t>Details:</t>
  </si>
  <si>
    <t>ignore bank holidays</t>
  </si>
  <si>
    <t>when somebody is plugged in</t>
  </si>
  <si>
    <t>weekdays</t>
  </si>
  <si>
    <t>weekend days</t>
  </si>
  <si>
    <t>long trip days</t>
  </si>
  <si>
    <t>long trip (mi)</t>
  </si>
  <si>
    <t>long trip (kwh)</t>
  </si>
  <si>
    <t>long trip (kwh / year)</t>
  </si>
  <si>
    <t>remaining trip (kwh / year</t>
  </si>
  <si>
    <t>weekday / end ratio</t>
  </si>
  <si>
    <t>weekday (kwh / year)</t>
  </si>
  <si>
    <t>weekend (kwh / year)</t>
  </si>
  <si>
    <t>the state of charge of the battery when they plug in</t>
  </si>
  <si>
    <t>The simulator should be “agent-based” in the sense that it allows for modelling of individual user behaviour</t>
  </si>
  <si>
    <t xml:space="preserve">Using your simulator, we should be able to recapitulate population-level observations. </t>
  </si>
  <si>
    <t>weekday (kwh / day)</t>
  </si>
  <si>
    <t>weekend (kwh / day)</t>
  </si>
  <si>
    <t xml:space="preserve">This might look like a script which runs the simulator with a bunch of preset parameters, for instance representing different archetypes of user behaviour </t>
  </si>
  <si>
    <t>260W + 100E = 2481.714286</t>
  </si>
  <si>
    <t>(e.g. the “commute every day” vs. “mostly long trips at weekends”</t>
  </si>
  <si>
    <t>W = 2E</t>
  </si>
  <si>
    <t>We want to be able to use the simulator to capture variation in the population of EV drivers</t>
  </si>
  <si>
    <t>weekday SoC</t>
  </si>
  <si>
    <t>weekend SoC</t>
  </si>
  <si>
    <t>long trip SoC</t>
  </si>
  <si>
    <t>520E + 100E = 2481.714286</t>
  </si>
  <si>
    <t>E=</t>
  </si>
  <si>
    <t>AW Ideas:</t>
  </si>
  <si>
    <t>W=</t>
  </si>
  <si>
    <t>Average - drives to work 4 days a week, makes infrequent trips at the weekend</t>
  </si>
  <si>
    <t>Intelligent Octopus average - why is this so high a year?</t>
  </si>
  <si>
    <t>Weekday: Parked to Driving</t>
  </si>
  <si>
    <t>Infrequenct charging - assuming this is someone who doesn't drive to work but does a fair amount of travelling at the weekend</t>
  </si>
  <si>
    <t>Slot</t>
  </si>
  <si>
    <t>Time</t>
  </si>
  <si>
    <t>P(I→D)</t>
  </si>
  <si>
    <t>P(I→I)</t>
  </si>
  <si>
    <t>P(P→D)</t>
  </si>
  <si>
    <t>P(P→P)</t>
  </si>
  <si>
    <t>Scheduled Charging - always plug in at 10pm and unplug at 9am</t>
  </si>
  <si>
    <t>Always plugged-in - how can this always be plugged in?</t>
  </si>
  <si>
    <t>Starting point. Monte Carlo simulation, starting Monday with current charge.</t>
  </si>
  <si>
    <t>Weekday: Driving to Parked</t>
  </si>
  <si>
    <t>Slots</t>
  </si>
  <si>
    <t>Time range</t>
  </si>
  <si>
    <t>P(D→P)</t>
  </si>
  <si>
    <t>P(D→D)</t>
  </si>
  <si>
    <t>P(D→C)</t>
  </si>
  <si>
    <t>Weekday: Window 5 — PLUGGED_CHARGING → PLUGGED_IDLE</t>
  </si>
  <si>
    <t>No probability. SoC rises 3.5 kWh per slot (7 kW × 0.5 hrs). When SoC ≥ 80%, transition to IDLE. Deterministic.</t>
  </si>
  <si>
    <t>State</t>
  </si>
  <si>
    <t>SoC</t>
  </si>
  <si>
    <t>Rand</t>
  </si>
  <si>
    <t>PLUGGED_IDLE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</si>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</sst>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0" fontId="2" numFmtId="10" xfId="0" applyFont="1" applyNumberFormat="1"/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I22:L28" displayName="PLUGGED_IN_TO_DRIVING" name="PLUGGED_IN_TO_DRIVING" id="1">
  <tableColumns count="4">
    <tableColumn name="Slot" id="1"/>
    <tableColumn name="Time" id="2"/>
    <tableColumn name="P(I→D)" id="3"/>
    <tableColumn name="P(I→I)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N22:Q29" displayName="PARKED_TO_DRIVING" name="PARKED_TO_DRIVING" id="2">
  <tableColumns count="4">
    <tableColumn name="Slot" id="1"/>
    <tableColumn name="Time" id="2"/>
    <tableColumn name="P(P→D)" id="3"/>
    <tableColumn name="P(P→P)" id="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I32:L38" displayName="DRIVING_TO_PARKED" name="DRIVING_TO_PARKED" id="3">
  <tableColumns count="4">
    <tableColumn name="Slots" id="1"/>
    <tableColumn name="Time range" id="2"/>
    <tableColumn name="P(D→P)" id="3"/>
    <tableColumn name="P(D→D)" id="4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N32:Q41" displayName="DRIVING_TO_PLUGGED_IN" name="DRIVING_TO_PLUGGED_IN" id="4">
  <tableColumns count="4">
    <tableColumn name="Slots" id="1"/>
    <tableColumn name="Time range" id="2"/>
    <tableColumn name="P(D→C)" id="3"/>
    <tableColumn name="P(D→D)" id="4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I45:M94" displayName="WEEKDAY_SIMULATION" name="WEEKDAY_SIMULATION" id="5">
  <tableColumns count="5">
    <tableColumn name="Slot" id="1"/>
    <tableColumn name="Time" id="2"/>
    <tableColumn name="State" id="3"/>
    <tableColumn name="SoC" id="4"/>
    <tableColumn name="Rand" id="5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4.25"/>
    <col customWidth="1" min="3" max="3" width="16.63"/>
    <col customWidth="1" min="6" max="6" width="16.38"/>
    <col customWidth="1" min="7" max="7" width="22.63"/>
    <col customWidth="1" min="9" max="9" width="17.0"/>
    <col customWidth="1" min="10" max="10" width="21.63"/>
    <col customWidth="1" min="16" max="16" width="21.13"/>
    <col customWidth="1" min="18" max="18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1.0</v>
      </c>
      <c r="B2" s="2" t="s">
        <v>16</v>
      </c>
      <c r="C2" s="2">
        <v>40.0</v>
      </c>
      <c r="D2" s="2">
        <v>9435.0</v>
      </c>
      <c r="E2" s="2">
        <v>60.0</v>
      </c>
      <c r="F2" s="2">
        <v>3.5</v>
      </c>
      <c r="G2" s="2">
        <v>1.0</v>
      </c>
      <c r="H2" s="2">
        <v>7.0</v>
      </c>
      <c r="I2" s="3">
        <v>0.75</v>
      </c>
      <c r="J2" s="3">
        <v>0.2916666666666667</v>
      </c>
      <c r="K2" s="4">
        <v>0.8</v>
      </c>
      <c r="L2" s="2">
        <v>2696.0</v>
      </c>
      <c r="M2" s="2">
        <v>7.0</v>
      </c>
      <c r="N2" s="4">
        <v>0.68</v>
      </c>
      <c r="O2" s="4">
        <v>0.12</v>
      </c>
      <c r="P2" s="2">
        <v>1.0</v>
      </c>
    </row>
    <row r="3">
      <c r="A3" s="2">
        <v>2.0</v>
      </c>
      <c r="B3" s="2" t="s">
        <v>17</v>
      </c>
      <c r="C3" s="2">
        <v>30.0</v>
      </c>
      <c r="D3" s="2">
        <v>28105.0</v>
      </c>
      <c r="E3" s="2">
        <v>72.5</v>
      </c>
      <c r="F3" s="2">
        <v>3.5</v>
      </c>
      <c r="G3" s="2">
        <v>1.0</v>
      </c>
      <c r="H3" s="2">
        <v>7.0</v>
      </c>
      <c r="I3" s="3">
        <v>0.75</v>
      </c>
      <c r="J3" s="3">
        <v>0.2916666666666667</v>
      </c>
      <c r="K3" s="4">
        <v>0.8</v>
      </c>
      <c r="L3" s="2">
        <v>8030.0</v>
      </c>
      <c r="M3" s="2">
        <v>22.0</v>
      </c>
      <c r="N3" s="4">
        <v>0.52</v>
      </c>
      <c r="O3" s="4">
        <v>0.28</v>
      </c>
      <c r="P3" s="2">
        <v>2.5</v>
      </c>
    </row>
    <row r="4">
      <c r="A4" s="2">
        <v>3.0</v>
      </c>
      <c r="B4" s="2" t="s">
        <v>18</v>
      </c>
      <c r="C4" s="2">
        <v>10.0</v>
      </c>
      <c r="D4" s="2">
        <v>9435.0</v>
      </c>
      <c r="E4" s="2">
        <v>60.0</v>
      </c>
      <c r="F4" s="2">
        <v>3.5</v>
      </c>
      <c r="G4" s="2">
        <v>0.2</v>
      </c>
      <c r="H4" s="2">
        <v>7.0</v>
      </c>
      <c r="I4" s="3">
        <v>0.75</v>
      </c>
      <c r="J4" s="3">
        <v>0.2916666666666667</v>
      </c>
      <c r="K4" s="4">
        <v>0.8</v>
      </c>
      <c r="L4" s="2">
        <v>2696.0</v>
      </c>
      <c r="M4" s="2">
        <v>37.0</v>
      </c>
      <c r="N4" s="4">
        <v>0.18</v>
      </c>
      <c r="O4" s="4">
        <v>0.62</v>
      </c>
      <c r="P4" s="2">
        <v>5.0</v>
      </c>
    </row>
    <row r="5">
      <c r="A5" s="2">
        <v>4.0</v>
      </c>
      <c r="B5" s="2" t="s">
        <v>19</v>
      </c>
      <c r="C5" s="2">
        <v>10.0</v>
      </c>
      <c r="D5" s="2">
        <v>5700.0</v>
      </c>
      <c r="E5" s="2">
        <v>60.0</v>
      </c>
      <c r="F5" s="2">
        <v>3.5</v>
      </c>
      <c r="G5" s="2">
        <v>1.0</v>
      </c>
      <c r="H5" s="2">
        <v>7.0</v>
      </c>
      <c r="I5" s="3">
        <v>0.75</v>
      </c>
      <c r="J5" s="3">
        <v>0.2916666666666667</v>
      </c>
      <c r="K5" s="4">
        <v>0.8</v>
      </c>
      <c r="L5" s="2">
        <v>1629.0</v>
      </c>
      <c r="M5" s="2">
        <v>4.0</v>
      </c>
      <c r="N5" s="4">
        <v>0.73</v>
      </c>
      <c r="O5" s="4">
        <v>0.07</v>
      </c>
      <c r="P5" s="2">
        <v>1.0</v>
      </c>
    </row>
    <row r="6">
      <c r="A6" s="2">
        <v>5.0</v>
      </c>
      <c r="B6" s="2" t="s">
        <v>20</v>
      </c>
      <c r="C6" s="2">
        <v>9.0</v>
      </c>
      <c r="D6" s="2">
        <v>9435.0</v>
      </c>
      <c r="E6" s="2">
        <v>60.0</v>
      </c>
      <c r="F6" s="2">
        <v>3.5</v>
      </c>
      <c r="G6" s="2">
        <v>1.0</v>
      </c>
      <c r="H6" s="2">
        <v>7.0</v>
      </c>
      <c r="I6" s="3">
        <v>0.9166666666666666</v>
      </c>
      <c r="J6" s="3">
        <v>0.375</v>
      </c>
      <c r="K6" s="4">
        <v>0.8</v>
      </c>
      <c r="L6" s="2">
        <v>2696.0</v>
      </c>
      <c r="M6" s="2">
        <v>7.0</v>
      </c>
      <c r="N6" s="4">
        <v>0.68</v>
      </c>
      <c r="O6" s="4">
        <v>0.12</v>
      </c>
      <c r="P6" s="2">
        <v>1.0</v>
      </c>
    </row>
    <row r="7">
      <c r="A7" s="2">
        <v>6.0</v>
      </c>
      <c r="B7" s="2" t="s">
        <v>21</v>
      </c>
      <c r="C7" s="2">
        <v>1.0</v>
      </c>
      <c r="D7" s="2">
        <v>9435.0</v>
      </c>
      <c r="E7" s="2">
        <v>60.0</v>
      </c>
      <c r="F7" s="2">
        <v>3.5</v>
      </c>
      <c r="G7" s="2">
        <v>1.0</v>
      </c>
      <c r="H7" s="2">
        <v>7.0</v>
      </c>
      <c r="I7" s="3">
        <v>0.0</v>
      </c>
      <c r="J7" s="3">
        <v>0.9993055555555556</v>
      </c>
      <c r="K7" s="4">
        <v>0.8</v>
      </c>
      <c r="L7" s="2">
        <v>2696.0</v>
      </c>
      <c r="M7" s="2">
        <v>7.0</v>
      </c>
      <c r="N7" s="4">
        <v>0.68</v>
      </c>
      <c r="O7" s="4">
        <v>0.12</v>
      </c>
      <c r="P7" s="2">
        <v>1.0</v>
      </c>
    </row>
    <row r="9">
      <c r="B9" s="5" t="s">
        <v>22</v>
      </c>
      <c r="G9" s="2" t="s">
        <v>23</v>
      </c>
    </row>
    <row r="10">
      <c r="B10" s="6" t="s">
        <v>24</v>
      </c>
      <c r="I10" s="1" t="s">
        <v>11</v>
      </c>
      <c r="J10" s="1" t="s">
        <v>25</v>
      </c>
      <c r="K10" s="1" t="s">
        <v>26</v>
      </c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32</v>
      </c>
      <c r="R10" s="1" t="s">
        <v>33</v>
      </c>
      <c r="S10" s="1" t="s">
        <v>34</v>
      </c>
    </row>
    <row r="11">
      <c r="B11" s="6" t="s">
        <v>35</v>
      </c>
      <c r="I11" s="2">
        <v>2696.0</v>
      </c>
      <c r="J11" s="7">
        <f>52*5</f>
        <v>260</v>
      </c>
      <c r="K11" s="2">
        <v>100.0</v>
      </c>
      <c r="L11" s="7">
        <f>365-K11-J11</f>
        <v>5</v>
      </c>
      <c r="M11" s="2">
        <v>150.0</v>
      </c>
      <c r="N11" s="7">
        <f>M11/F2</f>
        <v>42.85714286</v>
      </c>
      <c r="O11" s="7">
        <f>N11*L11</f>
        <v>214.2857143</v>
      </c>
      <c r="P11" s="7">
        <f>I11-O11</f>
        <v>2481.714286</v>
      </c>
      <c r="Q11" s="2">
        <v>2.0</v>
      </c>
      <c r="R11" s="7">
        <f>P11*2/3</f>
        <v>1654.47619</v>
      </c>
      <c r="S11" s="7">
        <f>P11-R11</f>
        <v>827.2380952</v>
      </c>
    </row>
    <row r="12">
      <c r="B12" s="6" t="s">
        <v>36</v>
      </c>
    </row>
    <row r="13">
      <c r="B13" s="6" t="s">
        <v>37</v>
      </c>
      <c r="I13" s="1" t="s">
        <v>38</v>
      </c>
      <c r="J13" s="1" t="s">
        <v>39</v>
      </c>
      <c r="K13" s="1" t="s">
        <v>29</v>
      </c>
    </row>
    <row r="14">
      <c r="B14" s="6" t="s">
        <v>40</v>
      </c>
      <c r="I14" s="7">
        <f>O18</f>
        <v>8.005529954</v>
      </c>
      <c r="J14" s="7">
        <f>O17</f>
        <v>4.002764977</v>
      </c>
      <c r="K14" s="7">
        <f>N11</f>
        <v>42.85714286</v>
      </c>
      <c r="N14" s="2" t="s">
        <v>41</v>
      </c>
    </row>
    <row r="15">
      <c r="B15" s="6" t="s">
        <v>42</v>
      </c>
      <c r="N15" s="2" t="s">
        <v>43</v>
      </c>
    </row>
    <row r="16">
      <c r="B16" s="6" t="s">
        <v>44</v>
      </c>
      <c r="I16" s="1" t="s">
        <v>45</v>
      </c>
      <c r="J16" s="1" t="s">
        <v>46</v>
      </c>
      <c r="K16" s="1" t="s">
        <v>47</v>
      </c>
      <c r="N16" s="2" t="s">
        <v>48</v>
      </c>
    </row>
    <row r="17">
      <c r="I17" s="8">
        <f t="shared" ref="I17:K17" si="1">I14/60</f>
        <v>0.1334254992</v>
      </c>
      <c r="J17" s="8">
        <f t="shared" si="1"/>
        <v>0.06671274962</v>
      </c>
      <c r="K17" s="8">
        <f t="shared" si="1"/>
        <v>0.7142857143</v>
      </c>
      <c r="N17" s="9" t="s">
        <v>49</v>
      </c>
      <c r="O17" s="7">
        <f>P11/620</f>
        <v>4.002764977</v>
      </c>
    </row>
    <row r="18">
      <c r="B18" s="1" t="s">
        <v>50</v>
      </c>
      <c r="N18" s="9" t="s">
        <v>51</v>
      </c>
      <c r="O18" s="7">
        <f>O17*2</f>
        <v>8.005529954</v>
      </c>
    </row>
    <row r="19">
      <c r="B19" s="2" t="s">
        <v>52</v>
      </c>
    </row>
    <row r="20">
      <c r="B20" s="2" t="s">
        <v>53</v>
      </c>
      <c r="N20" s="2" t="s">
        <v>54</v>
      </c>
    </row>
    <row r="21">
      <c r="B21" s="2"/>
      <c r="I21" s="10"/>
      <c r="J21" s="10"/>
      <c r="K21" s="10"/>
      <c r="L21" s="10"/>
      <c r="N21" s="2"/>
      <c r="O21" s="2"/>
      <c r="P21" s="2"/>
      <c r="Q21" s="2"/>
    </row>
    <row r="22" ht="22.5" customHeight="1">
      <c r="B22" s="2" t="s">
        <v>55</v>
      </c>
      <c r="I22" s="11" t="s">
        <v>56</v>
      </c>
      <c r="J22" s="11" t="s">
        <v>57</v>
      </c>
      <c r="K22" s="11" t="s">
        <v>58</v>
      </c>
      <c r="L22" s="11" t="s">
        <v>59</v>
      </c>
      <c r="N22" s="12" t="s">
        <v>56</v>
      </c>
      <c r="O22" s="12" t="s">
        <v>57</v>
      </c>
      <c r="P22" s="12" t="s">
        <v>60</v>
      </c>
      <c r="Q22" s="12" t="s">
        <v>61</v>
      </c>
    </row>
    <row r="23" ht="22.5" customHeight="1">
      <c r="B23" s="2" t="s">
        <v>62</v>
      </c>
      <c r="I23" s="13">
        <v>12.0</v>
      </c>
      <c r="J23" s="14">
        <v>0.25</v>
      </c>
      <c r="K23" s="13">
        <v>0.02</v>
      </c>
      <c r="L23" s="13">
        <v>0.98</v>
      </c>
      <c r="N23" s="13">
        <v>33.0</v>
      </c>
      <c r="O23" s="14">
        <v>0.6875</v>
      </c>
      <c r="P23" s="13">
        <v>0.07</v>
      </c>
      <c r="Q23" s="13">
        <v>0.93</v>
      </c>
    </row>
    <row r="24" ht="22.5" customHeight="1">
      <c r="B24" s="2" t="s">
        <v>63</v>
      </c>
      <c r="I24" s="13">
        <v>13.0</v>
      </c>
      <c r="J24" s="14">
        <v>0.2708333333333333</v>
      </c>
      <c r="K24" s="13">
        <v>0.14</v>
      </c>
      <c r="L24" s="13">
        <v>0.86</v>
      </c>
      <c r="N24" s="13">
        <v>34.0</v>
      </c>
      <c r="O24" s="14">
        <v>0.7083333333333334</v>
      </c>
      <c r="P24" s="13">
        <v>0.18</v>
      </c>
      <c r="Q24" s="13">
        <v>0.82</v>
      </c>
    </row>
    <row r="25" ht="22.5" customHeight="1">
      <c r="I25" s="13">
        <v>14.0</v>
      </c>
      <c r="J25" s="14">
        <v>0.2916666666666667</v>
      </c>
      <c r="K25" s="13">
        <v>0.4</v>
      </c>
      <c r="L25" s="13">
        <v>0.6</v>
      </c>
      <c r="N25" s="13">
        <v>35.0</v>
      </c>
      <c r="O25" s="14">
        <v>0.7291666666666666</v>
      </c>
      <c r="P25" s="13">
        <v>0.33</v>
      </c>
      <c r="Q25" s="13">
        <v>0.67</v>
      </c>
    </row>
    <row r="26" ht="22.5" customHeight="1">
      <c r="B26" s="2" t="s">
        <v>64</v>
      </c>
      <c r="I26" s="13">
        <v>15.0</v>
      </c>
      <c r="J26" s="14">
        <v>0.3125</v>
      </c>
      <c r="K26" s="13">
        <v>0.68</v>
      </c>
      <c r="L26" s="13">
        <v>0.32</v>
      </c>
      <c r="N26" s="13">
        <v>36.0</v>
      </c>
      <c r="O26" s="14">
        <v>0.75</v>
      </c>
      <c r="P26" s="13">
        <v>0.5</v>
      </c>
      <c r="Q26" s="13">
        <v>0.5</v>
      </c>
    </row>
    <row r="27" ht="22.5" customHeight="1">
      <c r="I27" s="13">
        <v>16.0</v>
      </c>
      <c r="J27" s="14">
        <v>0.3333333333333333</v>
      </c>
      <c r="K27" s="13">
        <v>0.88</v>
      </c>
      <c r="L27" s="13">
        <v>0.12</v>
      </c>
      <c r="N27" s="13">
        <v>37.0</v>
      </c>
      <c r="O27" s="14">
        <v>0.7708333333333334</v>
      </c>
      <c r="P27" s="13">
        <v>0.63</v>
      </c>
      <c r="Q27" s="13">
        <v>0.37</v>
      </c>
    </row>
    <row r="28" ht="22.5" customHeight="1">
      <c r="I28" s="13">
        <v>17.0</v>
      </c>
      <c r="J28" s="14">
        <v>0.3541666666666667</v>
      </c>
      <c r="K28" s="13">
        <v>1.0</v>
      </c>
      <c r="L28" s="13">
        <v>0.0</v>
      </c>
      <c r="N28" s="13">
        <v>38.0</v>
      </c>
      <c r="O28" s="14">
        <v>0.7916666666666666</v>
      </c>
      <c r="P28" s="13">
        <v>0.75</v>
      </c>
      <c r="Q28" s="13">
        <v>0.25</v>
      </c>
    </row>
    <row r="29" ht="22.5" customHeight="1">
      <c r="N29" s="13">
        <v>39.0</v>
      </c>
      <c r="O29" s="14">
        <v>0.8125</v>
      </c>
      <c r="P29" s="13">
        <v>1.0</v>
      </c>
      <c r="Q29" s="13">
        <v>0.0</v>
      </c>
    </row>
    <row r="30">
      <c r="I30" s="2" t="s">
        <v>65</v>
      </c>
    </row>
    <row r="31">
      <c r="I31" s="2"/>
      <c r="J31" s="2"/>
      <c r="K31" s="2"/>
      <c r="L31" s="2"/>
      <c r="N31" s="2"/>
    </row>
    <row r="32" ht="22.5" customHeight="1">
      <c r="I32" s="12" t="s">
        <v>66</v>
      </c>
      <c r="J32" s="12" t="s">
        <v>67</v>
      </c>
      <c r="K32" s="12" t="s">
        <v>68</v>
      </c>
      <c r="L32" s="12" t="s">
        <v>69</v>
      </c>
      <c r="N32" s="12" t="s">
        <v>66</v>
      </c>
      <c r="O32" s="12" t="s">
        <v>67</v>
      </c>
      <c r="P32" s="12" t="s">
        <v>70</v>
      </c>
      <c r="Q32" s="12" t="s">
        <v>69</v>
      </c>
    </row>
    <row r="33" ht="22.5" customHeight="1">
      <c r="I33" s="13">
        <v>12.0</v>
      </c>
      <c r="J33" s="14">
        <v>0.25</v>
      </c>
      <c r="K33" s="13">
        <v>0.85</v>
      </c>
      <c r="L33" s="13">
        <v>0.15</v>
      </c>
      <c r="N33" s="15">
        <v>34.0</v>
      </c>
      <c r="O33" s="14">
        <v>0.7083333333333334</v>
      </c>
      <c r="P33" s="15">
        <v>0.85</v>
      </c>
      <c r="Q33" s="15">
        <v>0.15</v>
      </c>
    </row>
    <row r="34" ht="22.5" customHeight="1">
      <c r="I34" s="13">
        <v>13.0</v>
      </c>
      <c r="J34" s="14">
        <v>0.2708333333333333</v>
      </c>
      <c r="K34" s="13">
        <v>0.85</v>
      </c>
      <c r="L34" s="13">
        <v>0.15</v>
      </c>
      <c r="N34" s="15">
        <v>35.0</v>
      </c>
      <c r="O34" s="14">
        <v>0.7291666666666666</v>
      </c>
      <c r="P34" s="15">
        <v>0.85</v>
      </c>
      <c r="Q34" s="15">
        <v>0.15</v>
      </c>
    </row>
    <row r="35" ht="22.5" customHeight="1">
      <c r="I35" s="13">
        <v>14.0</v>
      </c>
      <c r="J35" s="14">
        <v>0.2916666666666667</v>
      </c>
      <c r="K35" s="13">
        <v>0.85</v>
      </c>
      <c r="L35" s="13">
        <v>0.15</v>
      </c>
      <c r="N35" s="15">
        <v>36.0</v>
      </c>
      <c r="O35" s="14">
        <v>0.75</v>
      </c>
      <c r="P35" s="15">
        <v>0.85</v>
      </c>
      <c r="Q35" s="15">
        <v>0.15</v>
      </c>
    </row>
    <row r="36" ht="22.5" customHeight="1">
      <c r="I36" s="13">
        <v>15.0</v>
      </c>
      <c r="J36" s="14">
        <v>0.3125</v>
      </c>
      <c r="K36" s="13">
        <v>0.85</v>
      </c>
      <c r="L36" s="13">
        <v>0.15</v>
      </c>
      <c r="N36" s="15">
        <v>37.0</v>
      </c>
      <c r="O36" s="14">
        <v>0.7708333333333334</v>
      </c>
      <c r="P36" s="15">
        <v>0.85</v>
      </c>
      <c r="Q36" s="15">
        <v>0.15</v>
      </c>
    </row>
    <row r="37" ht="22.5" customHeight="1">
      <c r="I37" s="13">
        <v>16.0</v>
      </c>
      <c r="J37" s="14">
        <v>0.3333333333333333</v>
      </c>
      <c r="K37" s="13">
        <v>0.85</v>
      </c>
      <c r="L37" s="13">
        <v>0.15</v>
      </c>
      <c r="N37" s="15">
        <v>38.0</v>
      </c>
      <c r="O37" s="14">
        <v>0.7916666666666666</v>
      </c>
      <c r="P37" s="15">
        <v>0.85</v>
      </c>
      <c r="Q37" s="15">
        <v>0.15</v>
      </c>
    </row>
    <row r="38" ht="22.5" customHeight="1">
      <c r="I38" s="13">
        <v>17.0</v>
      </c>
      <c r="J38" s="14">
        <v>0.3541666666666667</v>
      </c>
      <c r="K38" s="13">
        <v>0.85</v>
      </c>
      <c r="L38" s="13">
        <v>0.15</v>
      </c>
      <c r="N38" s="15">
        <v>39.0</v>
      </c>
      <c r="O38" s="14">
        <v>0.8125</v>
      </c>
      <c r="P38" s="15">
        <v>0.85</v>
      </c>
      <c r="Q38" s="15">
        <v>0.15</v>
      </c>
    </row>
    <row r="39" ht="22.5" customHeight="1">
      <c r="N39" s="15">
        <v>40.0</v>
      </c>
      <c r="O39" s="14">
        <v>0.8333333333333334</v>
      </c>
      <c r="P39" s="15">
        <v>0.85</v>
      </c>
      <c r="Q39" s="15">
        <v>0.15</v>
      </c>
    </row>
    <row r="40" ht="22.5" customHeight="1">
      <c r="N40" s="15">
        <v>41.0</v>
      </c>
      <c r="O40" s="14">
        <v>0.8541666666666666</v>
      </c>
      <c r="P40" s="15">
        <v>0.85</v>
      </c>
      <c r="Q40" s="15">
        <v>0.15</v>
      </c>
    </row>
    <row r="41" ht="22.5" customHeight="1">
      <c r="I41" s="2" t="s">
        <v>71</v>
      </c>
      <c r="N41" s="15">
        <v>42.0</v>
      </c>
      <c r="O41" s="14">
        <v>0.875</v>
      </c>
      <c r="P41" s="15">
        <v>0.85</v>
      </c>
      <c r="Q41" s="15">
        <v>0.15</v>
      </c>
    </row>
    <row r="43">
      <c r="I43" s="2" t="s">
        <v>72</v>
      </c>
    </row>
    <row r="45" ht="22.5" customHeight="1">
      <c r="I45" s="16" t="s">
        <v>56</v>
      </c>
      <c r="J45" s="16" t="s">
        <v>57</v>
      </c>
      <c r="K45" s="16" t="s">
        <v>73</v>
      </c>
      <c r="L45" s="16" t="s">
        <v>74</v>
      </c>
      <c r="M45" s="12" t="s">
        <v>75</v>
      </c>
    </row>
    <row r="46" ht="22.5" customHeight="1">
      <c r="I46" s="15">
        <v>0.0</v>
      </c>
      <c r="J46" s="14">
        <v>0.0</v>
      </c>
      <c r="K46" s="13" t="s">
        <v>76</v>
      </c>
      <c r="L46" s="13">
        <v>0.8</v>
      </c>
      <c r="M46" s="17">
        <f t="shared" ref="M46:M93" si="2">RAND()</f>
        <v>0.3330898338</v>
      </c>
    </row>
    <row r="47" ht="22.5" customHeight="1">
      <c r="I47" s="15">
        <v>1.0</v>
      </c>
      <c r="J47" s="14">
        <v>0.020833333333333332</v>
      </c>
      <c r="K47" s="18" t="str">
        <f>IF(AND(K46="PLUGGED_IN", L46&gt;=0.8),
  "PLUGGED_IDLE",
IF(K46="PLUGGED_IDLE",
  IFERROR(
    IF(M47&lt;VLOOKUP(I47,PLUGGED_IN_TO_DRIVING[],3,FALSE),
      "DRIVING",
      K46),
    K46),
IF(K46="PLUGGED_IN",
  IFERROR(
    IF(M47&lt;VLOOKUP(I47,PLUGGED_IN_TO_DRIVING[],3,FALSE),
      "DRIVING",
      K46),
    K46),
IF(K46="DRIVING",
  IFERROR(
    IF(M47&lt;VLOOKUP(I47,DRIVING_TO_PARKED[],3,FALSE),
      "PARKED",
    IFERROR(
      IF(M47&lt;VLOOKUP(I47,DRIVING_TO_PLUGGED_IN[],3,FALSE),
        "PLUGGED_IN",
        K46),
      K46)),
    IFERROR(
      IF(M47&lt;VLOOKUP(I47,DRIVING_TO_PLUGGED_IN[],3,FALSE),
        "PLUGGED_IN",
        K46),
      K46)),
IF(K46="PARKED",
  IFERROR(
    IF(M47&lt;VLOOKUP(I47,PARKED_TO_DRIVING[],3,FALSE),
      "DRIVING",
      K46),
    K46),
  K46)))))</f>
        <v>PLUGGED_IDLE</v>
      </c>
      <c r="L47" s="19">
        <f t="shared" ref="L47:L93" si="3">IF(K47="DRIVING", L46-($I$14/2/60),
  IF(AND(K47="PLUGGED_IN", L46&lt;0.8), MIN(0.8, L46+(3.5/60)),
    L46))</f>
        <v>0.8</v>
      </c>
      <c r="M47" s="17">
        <f t="shared" si="2"/>
        <v>0.8782500069</v>
      </c>
    </row>
    <row r="48" ht="22.5" customHeight="1">
      <c r="I48" s="15">
        <v>2.0</v>
      </c>
      <c r="J48" s="14">
        <v>0.041666666666666664</v>
      </c>
      <c r="K48" s="18" t="str">
        <f>IF(AND(K47="PLUGGED_IN", L47&gt;=0.8),
  "PLUGGED_IDLE",
IF(K47="PLUGGED_IDLE",
  IFERROR(
    IF(M48&lt;VLOOKUP(I48,PLUGGED_IN_TO_DRIVING[],3,FALSE),
      "DRIVING",
      K47),
    K47),
IF(K47="PLUGGED_IN",
  IFERROR(
    IF(M48&lt;VLOOKUP(I48,PLUGGED_IN_TO_DRIVING[],3,FALSE),
      "DRIVING",
      K47),
    K47),
IF(K47="DRIVING",
  IFERROR(
    IF(M48&lt;VLOOKUP(I48,DRIVING_TO_PARKED[],3,FALSE),
      "PARKED",
    IFERROR(
      IF(M48&lt;VLOOKUP(I48,DRIVING_TO_PLUGGED_IN[],3,FALSE),
        "PLUGGED_IN",
        K47),
      K47)),
    IFERROR(
      IF(M48&lt;VLOOKUP(I48,DRIVING_TO_PLUGGED_IN[],3,FALSE),
        "PLUGGED_IN",
        K47),
      K47)),
IF(K47="PARKED",
  IFERROR(
    IF(M48&lt;VLOOKUP(I48,PARKED_TO_DRIVING[],3,FALSE),
      "DRIVING",
      K47),
    K47),
  K47)))))</f>
        <v>PLUGGED_IDLE</v>
      </c>
      <c r="L48" s="19">
        <f t="shared" si="3"/>
        <v>0.8</v>
      </c>
      <c r="M48" s="17">
        <f t="shared" si="2"/>
        <v>0.4988896386</v>
      </c>
    </row>
    <row r="49" ht="22.5" customHeight="1">
      <c r="I49" s="15">
        <v>3.0</v>
      </c>
      <c r="J49" s="14">
        <v>0.0625</v>
      </c>
      <c r="K49" s="18" t="str">
        <f>IF(AND(K48="PLUGGED_IN", L48&gt;=0.8),
  "PLUGGED_IDLE",
IF(K48="PLUGGED_IDLE",
  IFERROR(
    IF(M49&lt;VLOOKUP(I49,PLUGGED_IN_TO_DRIVING[],3,FALSE),
      "DRIVING",
      K48),
    K48),
IF(K48="PLUGGED_IN",
  IFERROR(
    IF(M49&lt;VLOOKUP(I49,PLUGGED_IN_TO_DRIVING[],3,FALSE),
      "DRIVING",
      K48),
    K48),
IF(K48="DRIVING",
  IFERROR(
    IF(M49&lt;VLOOKUP(I49,DRIVING_TO_PARKED[],3,FALSE),
      "PARKED",
    IFERROR(
      IF(M49&lt;VLOOKUP(I49,DRIVING_TO_PLUGGED_IN[],3,FALSE),
        "PLUGGED_IN",
        K48),
      K48)),
    IFERROR(
      IF(M49&lt;VLOOKUP(I49,DRIVING_TO_PLUGGED_IN[],3,FALSE),
        "PLUGGED_IN",
        K48),
      K48)),
IF(K48="PARKED",
  IFERROR(
    IF(M49&lt;VLOOKUP(I49,PARKED_TO_DRIVING[],3,FALSE),
      "DRIVING",
      K48),
    K48),
  K48)))))</f>
        <v>PLUGGED_IDLE</v>
      </c>
      <c r="L49" s="19">
        <f t="shared" si="3"/>
        <v>0.8</v>
      </c>
      <c r="M49" s="17">
        <f t="shared" si="2"/>
        <v>0.9046802635</v>
      </c>
    </row>
    <row r="50" ht="22.5" customHeight="1">
      <c r="I50" s="15">
        <v>4.0</v>
      </c>
      <c r="J50" s="14">
        <v>0.08333333333333333</v>
      </c>
      <c r="K50" s="18" t="str">
        <f>IF(AND(K49="PLUGGED_IN", L49&gt;=0.8),
  "PLUGGED_IDLE",
IF(K49="PLUGGED_IDLE",
  IFERROR(
    IF(M50&lt;VLOOKUP(I50,PLUGGED_IN_TO_DRIVING[],3,FALSE),
      "DRIVING",
      K49),
    K49),
IF(K49="PLUGGED_IN",
  IFERROR(
    IF(M50&lt;VLOOKUP(I50,PLUGGED_IN_TO_DRIVING[],3,FALSE),
      "DRIVING",
      K49),
    K49),
IF(K49="DRIVING",
  IFERROR(
    IF(M50&lt;VLOOKUP(I50,DRIVING_TO_PARKED[],3,FALSE),
      "PARKED",
    IFERROR(
      IF(M50&lt;VLOOKUP(I50,DRIVING_TO_PLUGGED_IN[],3,FALSE),
        "PLUGGED_IN",
        K49),
      K49)),
    IFERROR(
      IF(M50&lt;VLOOKUP(I50,DRIVING_TO_PLUGGED_IN[],3,FALSE),
        "PLUGGED_IN",
        K49),
      K49)),
IF(K49="PARKED",
  IFERROR(
    IF(M50&lt;VLOOKUP(I50,PARKED_TO_DRIVING[],3,FALSE),
      "DRIVING",
      K49),
    K49),
  K49)))))</f>
        <v>PLUGGED_IDLE</v>
      </c>
      <c r="L50" s="19">
        <f t="shared" si="3"/>
        <v>0.8</v>
      </c>
      <c r="M50" s="17">
        <f t="shared" si="2"/>
        <v>0.4454963485</v>
      </c>
    </row>
    <row r="51" ht="22.5" customHeight="1">
      <c r="I51" s="15">
        <v>5.0</v>
      </c>
      <c r="J51" s="14">
        <v>0.10416666666666667</v>
      </c>
      <c r="K51" s="18" t="str">
        <f>IF(AND(K50="PLUGGED_IN", L50&gt;=0.8),
  "PLUGGED_IDLE",
IF(K50="PLUGGED_IDLE",
  IFERROR(
    IF(M51&lt;VLOOKUP(I51,PLUGGED_IN_TO_DRIVING[],3,FALSE),
      "DRIVING",
      K50),
    K50),
IF(K50="PLUGGED_IN",
  IFERROR(
    IF(M51&lt;VLOOKUP(I51,PLUGGED_IN_TO_DRIVING[],3,FALSE),
      "DRIVING",
      K50),
    K50),
IF(K50="DRIVING",
  IFERROR(
    IF(M51&lt;VLOOKUP(I51,DRIVING_TO_PARKED[],3,FALSE),
      "PARKED",
    IFERROR(
      IF(M51&lt;VLOOKUP(I51,DRIVING_TO_PLUGGED_IN[],3,FALSE),
        "PLUGGED_IN",
        K50),
      K50)),
    IFERROR(
      IF(M51&lt;VLOOKUP(I51,DRIVING_TO_PLUGGED_IN[],3,FALSE),
        "PLUGGED_IN",
        K50),
      K50)),
IF(K50="PARKED",
  IFERROR(
    IF(M51&lt;VLOOKUP(I51,PARKED_TO_DRIVING[],3,FALSE),
      "DRIVING",
      K50),
    K50),
  K50)))))</f>
        <v>PLUGGED_IDLE</v>
      </c>
      <c r="L51" s="19">
        <f t="shared" si="3"/>
        <v>0.8</v>
      </c>
      <c r="M51" s="17">
        <f t="shared" si="2"/>
        <v>0.8484145269</v>
      </c>
    </row>
    <row r="52" ht="22.5" customHeight="1">
      <c r="I52" s="15">
        <v>6.0</v>
      </c>
      <c r="J52" s="14">
        <v>0.125</v>
      </c>
      <c r="K52" s="18" t="str">
        <f>IF(AND(K51="PLUGGED_IN", L51&gt;=0.8),
  "PLUGGED_IDLE",
IF(K51="PLUGGED_IDLE",
  IFERROR(
    IF(M52&lt;VLOOKUP(I52,PLUGGED_IN_TO_DRIVING[],3,FALSE),
      "DRIVING",
      K51),
    K51),
IF(K51="PLUGGED_IN",
  IFERROR(
    IF(M52&lt;VLOOKUP(I52,PLUGGED_IN_TO_DRIVING[],3,FALSE),
      "DRIVING",
      K51),
    K51),
IF(K51="DRIVING",
  IFERROR(
    IF(M52&lt;VLOOKUP(I52,DRIVING_TO_PARKED[],3,FALSE),
      "PARKED",
    IFERROR(
      IF(M52&lt;VLOOKUP(I52,DRIVING_TO_PLUGGED_IN[],3,FALSE),
        "PLUGGED_IN",
        K51),
      K51)),
    IFERROR(
      IF(M52&lt;VLOOKUP(I52,DRIVING_TO_PLUGGED_IN[],3,FALSE),
        "PLUGGED_IN",
        K51),
      K51)),
IF(K51="PARKED",
  IFERROR(
    IF(M52&lt;VLOOKUP(I52,PARKED_TO_DRIVING[],3,FALSE),
      "DRIVING",
      K51),
    K51),
  K51)))))</f>
        <v>PLUGGED_IDLE</v>
      </c>
      <c r="L52" s="19">
        <f t="shared" si="3"/>
        <v>0.8</v>
      </c>
      <c r="M52" s="17">
        <f t="shared" si="2"/>
        <v>0.2850885623</v>
      </c>
    </row>
    <row r="53" ht="22.5" customHeight="1">
      <c r="I53" s="15">
        <v>7.0</v>
      </c>
      <c r="J53" s="14">
        <v>0.14583333333333334</v>
      </c>
      <c r="K53" s="18" t="str">
        <f>IF(AND(K52="PLUGGED_IN", L52&gt;=0.8),
  "PLUGGED_IDLE",
IF(K52="PLUGGED_IDLE",
  IFERROR(
    IF(M53&lt;VLOOKUP(I53,PLUGGED_IN_TO_DRIVING[],3,FALSE),
      "DRIVING",
      K52),
    K52),
IF(K52="PLUGGED_IN",
  IFERROR(
    IF(M53&lt;VLOOKUP(I53,PLUGGED_IN_TO_DRIVING[],3,FALSE),
      "DRIVING",
      K52),
    K52),
IF(K52="DRIVING",
  IFERROR(
    IF(M53&lt;VLOOKUP(I53,DRIVING_TO_PARKED[],3,FALSE),
      "PARKED",
    IFERROR(
      IF(M53&lt;VLOOKUP(I53,DRIVING_TO_PLUGGED_IN[],3,FALSE),
        "PLUGGED_IN",
        K52),
      K52)),
    IFERROR(
      IF(M53&lt;VLOOKUP(I53,DRIVING_TO_PLUGGED_IN[],3,FALSE),
        "PLUGGED_IN",
        K52),
      K52)),
IF(K52="PARKED",
  IFERROR(
    IF(M53&lt;VLOOKUP(I53,PARKED_TO_DRIVING[],3,FALSE),
      "DRIVING",
      K52),
    K52),
  K52)))))</f>
        <v>PLUGGED_IDLE</v>
      </c>
      <c r="L53" s="19">
        <f t="shared" si="3"/>
        <v>0.8</v>
      </c>
      <c r="M53" s="17">
        <f t="shared" si="2"/>
        <v>0.7705757894</v>
      </c>
    </row>
    <row r="54" ht="22.5" customHeight="1">
      <c r="I54" s="15">
        <v>8.0</v>
      </c>
      <c r="J54" s="14">
        <v>0.16666666666666666</v>
      </c>
      <c r="K54" s="18" t="str">
        <f>IF(AND(K53="PLUGGED_IN", L53&gt;=0.8),
  "PLUGGED_IDLE",
IF(K53="PLUGGED_IDLE",
  IFERROR(
    IF(M54&lt;VLOOKUP(I54,PLUGGED_IN_TO_DRIVING[],3,FALSE),
      "DRIVING",
      K53),
    K53),
IF(K53="PLUGGED_IN",
  IFERROR(
    IF(M54&lt;VLOOKUP(I54,PLUGGED_IN_TO_DRIVING[],3,FALSE),
      "DRIVING",
      K53),
    K53),
IF(K53="DRIVING",
  IFERROR(
    IF(M54&lt;VLOOKUP(I54,DRIVING_TO_PARKED[],3,FALSE),
      "PARKED",
    IFERROR(
      IF(M54&lt;VLOOKUP(I54,DRIVING_TO_PLUGGED_IN[],3,FALSE),
        "PLUGGED_IN",
        K53),
      K53)),
    IFERROR(
      IF(M54&lt;VLOOKUP(I54,DRIVING_TO_PLUGGED_IN[],3,FALSE),
        "PLUGGED_IN",
        K53),
      K53)),
IF(K53="PARKED",
  IFERROR(
    IF(M54&lt;VLOOKUP(I54,PARKED_TO_DRIVING[],3,FALSE),
      "DRIVING",
      K53),
    K53),
  K53)))))</f>
        <v>PLUGGED_IDLE</v>
      </c>
      <c r="L54" s="19">
        <f t="shared" si="3"/>
        <v>0.8</v>
      </c>
      <c r="M54" s="17">
        <f t="shared" si="2"/>
        <v>0.06956971262</v>
      </c>
    </row>
    <row r="55" ht="22.5" customHeight="1">
      <c r="I55" s="15">
        <v>9.0</v>
      </c>
      <c r="J55" s="14">
        <v>0.1875</v>
      </c>
      <c r="K55" s="18" t="str">
        <f>IF(AND(K54="PLUGGED_IN", L54&gt;=0.8),
  "PLUGGED_IDLE",
IF(K54="PLUGGED_IDLE",
  IFERROR(
    IF(M55&lt;VLOOKUP(I55,PLUGGED_IN_TO_DRIVING[],3,FALSE),
      "DRIVING",
      K54),
    K54),
IF(K54="PLUGGED_IN",
  IFERROR(
    IF(M55&lt;VLOOKUP(I55,PLUGGED_IN_TO_DRIVING[],3,FALSE),
      "DRIVING",
      K54),
    K54),
IF(K54="DRIVING",
  IFERROR(
    IF(M55&lt;VLOOKUP(I55,DRIVING_TO_PARKED[],3,FALSE),
      "PARKED",
    IFERROR(
      IF(M55&lt;VLOOKUP(I55,DRIVING_TO_PLUGGED_IN[],3,FALSE),
        "PLUGGED_IN",
        K54),
      K54)),
    IFERROR(
      IF(M55&lt;VLOOKUP(I55,DRIVING_TO_PLUGGED_IN[],3,FALSE),
        "PLUGGED_IN",
        K54),
      K54)),
IF(K54="PARKED",
  IFERROR(
    IF(M55&lt;VLOOKUP(I55,PARKED_TO_DRIVING[],3,FALSE),
      "DRIVING",
      K54),
    K54),
  K54)))))</f>
        <v>PLUGGED_IDLE</v>
      </c>
      <c r="L55" s="19">
        <f t="shared" si="3"/>
        <v>0.8</v>
      </c>
      <c r="M55" s="17">
        <f t="shared" si="2"/>
        <v>0.4312447652</v>
      </c>
    </row>
    <row r="56" ht="22.5" customHeight="1">
      <c r="I56" s="15">
        <v>10.0</v>
      </c>
      <c r="J56" s="14">
        <v>0.20833333333333334</v>
      </c>
      <c r="K56" s="18" t="str">
        <f>IF(AND(K55="PLUGGED_IN", L55&gt;=0.8),
  "PLUGGED_IDLE",
IF(K55="PLUGGED_IDLE",
  IFERROR(
    IF(M56&lt;VLOOKUP(I56,PLUGGED_IN_TO_DRIVING[],3,FALSE),
      "DRIVING",
      K55),
    K55),
IF(K55="PLUGGED_IN",
  IFERROR(
    IF(M56&lt;VLOOKUP(I56,PLUGGED_IN_TO_DRIVING[],3,FALSE),
      "DRIVING",
      K55),
    K55),
IF(K55="DRIVING",
  IFERROR(
    IF(M56&lt;VLOOKUP(I56,DRIVING_TO_PARKED[],3,FALSE),
      "PARKED",
    IFERROR(
      IF(M56&lt;VLOOKUP(I56,DRIVING_TO_PLUGGED_IN[],3,FALSE),
        "PLUGGED_IN",
        K55),
      K55)),
    IFERROR(
      IF(M56&lt;VLOOKUP(I56,DRIVING_TO_PLUGGED_IN[],3,FALSE),
        "PLUGGED_IN",
        K55),
      K55)),
IF(K55="PARKED",
  IFERROR(
    IF(M56&lt;VLOOKUP(I56,PARKED_TO_DRIVING[],3,FALSE),
      "DRIVING",
      K55),
    K55),
  K55)))))</f>
        <v>PLUGGED_IDLE</v>
      </c>
      <c r="L56" s="19">
        <f t="shared" si="3"/>
        <v>0.8</v>
      </c>
      <c r="M56" s="17">
        <f t="shared" si="2"/>
        <v>0.412671876</v>
      </c>
    </row>
    <row r="57" ht="22.5" customHeight="1">
      <c r="I57" s="15">
        <v>11.0</v>
      </c>
      <c r="J57" s="14">
        <v>0.22916666666666666</v>
      </c>
      <c r="K57" s="18" t="str">
        <f>IF(AND(K56="PLUGGED_IN", L56&gt;=0.8),
  "PLUGGED_IDLE",
IF(K56="PLUGGED_IDLE",
  IFERROR(
    IF(M57&lt;VLOOKUP(I57,PLUGGED_IN_TO_DRIVING[],3,FALSE),
      "DRIVING",
      K56),
    K56),
IF(K56="PLUGGED_IN",
  IFERROR(
    IF(M57&lt;VLOOKUP(I57,PLUGGED_IN_TO_DRIVING[],3,FALSE),
      "DRIVING",
      K56),
    K56),
IF(K56="DRIVING",
  IFERROR(
    IF(M57&lt;VLOOKUP(I57,DRIVING_TO_PARKED[],3,FALSE),
      "PARKED",
    IFERROR(
      IF(M57&lt;VLOOKUP(I57,DRIVING_TO_PLUGGED_IN[],3,FALSE),
        "PLUGGED_IN",
        K56),
      K56)),
    IFERROR(
      IF(M57&lt;VLOOKUP(I57,DRIVING_TO_PLUGGED_IN[],3,FALSE),
        "PLUGGED_IN",
        K56),
      K56)),
IF(K56="PARKED",
  IFERROR(
    IF(M57&lt;VLOOKUP(I57,PARKED_TO_DRIVING[],3,FALSE),
      "DRIVING",
      K56),
    K56),
  K56)))))</f>
        <v>PLUGGED_IDLE</v>
      </c>
      <c r="L57" s="19">
        <f t="shared" si="3"/>
        <v>0.8</v>
      </c>
      <c r="M57" s="17">
        <f t="shared" si="2"/>
        <v>0.4210043909</v>
      </c>
    </row>
    <row r="58" ht="22.5" customHeight="1">
      <c r="I58" s="15">
        <v>12.0</v>
      </c>
      <c r="J58" s="14">
        <v>0.25</v>
      </c>
      <c r="K58" s="18" t="str">
        <f>IF(AND(K57="PLUGGED_IN", L57&gt;=0.8),
  "PLUGGED_IDLE",
IF(K57="PLUGGED_IDLE",
  IFERROR(
    IF(M58&lt;VLOOKUP(I58,PLUGGED_IN_TO_DRIVING[],3,FALSE),
      "DRIVING",
      K57),
    K57),
IF(K57="PLUGGED_IN",
  IFERROR(
    IF(M58&lt;VLOOKUP(I58,PLUGGED_IN_TO_DRIVING[],3,FALSE),
      "DRIVING",
      K57),
    K57),
IF(K57="DRIVING",
  IFERROR(
    IF(M58&lt;VLOOKUP(I58,DRIVING_TO_PARKED[],3,FALSE),
      "PARKED",
    IFERROR(
      IF(M58&lt;VLOOKUP(I58,DRIVING_TO_PLUGGED_IN[],3,FALSE),
        "PLUGGED_IN",
        K57),
      K57)),
    IFERROR(
      IF(M58&lt;VLOOKUP(I58,DRIVING_TO_PLUGGED_IN[],3,FALSE),
        "PLUGGED_IN",
        K57),
      K57)),
IF(K57="PARKED",
  IFERROR(
    IF(M58&lt;VLOOKUP(I58,PARKED_TO_DRIVING[],3,FALSE),
      "DRIVING",
      K57),
    K57),
  K57)))))</f>
        <v>PLUGGED_IDLE</v>
      </c>
      <c r="L58" s="19">
        <f t="shared" si="3"/>
        <v>0.8</v>
      </c>
      <c r="M58" s="17">
        <f t="shared" si="2"/>
        <v>0.639540392</v>
      </c>
    </row>
    <row r="59" ht="22.5" customHeight="1">
      <c r="I59" s="15">
        <v>13.0</v>
      </c>
      <c r="J59" s="14">
        <v>0.2708333333333333</v>
      </c>
      <c r="K59" s="18" t="str">
        <f>IF(AND(K58="PLUGGED_IN", L58&gt;=0.8),
  "PLUGGED_IDLE",
IF(K58="PLUGGED_IDLE",
  IFERROR(
    IF(M59&lt;VLOOKUP(I59,PLUGGED_IN_TO_DRIVING[],3,FALSE),
      "DRIVING",
      K58),
    K58),
IF(K58="PLUGGED_IN",
  IFERROR(
    IF(M59&lt;VLOOKUP(I59,PLUGGED_IN_TO_DRIVING[],3,FALSE),
      "DRIVING",
      K58),
    K58),
IF(K58="DRIVING",
  IFERROR(
    IF(M59&lt;VLOOKUP(I59,DRIVING_TO_PARKED[],3,FALSE),
      "PARKED",
    IFERROR(
      IF(M59&lt;VLOOKUP(I59,DRIVING_TO_PLUGGED_IN[],3,FALSE),
        "PLUGGED_IN",
        K58),
      K58)),
    IFERROR(
      IF(M59&lt;VLOOKUP(I59,DRIVING_TO_PLUGGED_IN[],3,FALSE),
        "PLUGGED_IN",
        K58),
      K58)),
IF(K58="PARKED",
  IFERROR(
    IF(M59&lt;VLOOKUP(I59,PARKED_TO_DRIVING[],3,FALSE),
      "DRIVING",
      K58),
    K58),
  K58)))))</f>
        <v>DRIVING</v>
      </c>
      <c r="L59" s="19">
        <f t="shared" si="3"/>
        <v>0.7332872504</v>
      </c>
      <c r="M59" s="17">
        <f t="shared" si="2"/>
        <v>0.1220787642</v>
      </c>
    </row>
    <row r="60" ht="22.5" customHeight="1">
      <c r="I60" s="15">
        <v>14.0</v>
      </c>
      <c r="J60" s="14">
        <v>0.2916666666666667</v>
      </c>
      <c r="K60" s="18" t="str">
        <f>IF(AND(K59="PLUGGED_IN", L59&gt;=0.8),
  "PLUGGED_IDLE",
IF(K59="PLUGGED_IDLE",
  IFERROR(
    IF(M60&lt;VLOOKUP(I60,PLUGGED_IN_TO_DRIVING[],3,FALSE),
      "DRIVING",
      K59),
    K59),
IF(K59="PLUGGED_IN",
  IFERROR(
    IF(M60&lt;VLOOKUP(I60,PLUGGED_IN_TO_DRIVING[],3,FALSE),
      "DRIVING",
      K59),
    K59),
IF(K59="DRIVING",
  IFERROR(
    IF(M60&lt;VLOOKUP(I60,DRIVING_TO_PARKED[],3,FALSE),
      "PARKED",
    IFERROR(
      IF(M60&lt;VLOOKUP(I60,DRIVING_TO_PLUGGED_IN[],3,FALSE),
        "PLUGGED_IN",
        K59),
      K59)),
    IFERROR(
      IF(M60&lt;VLOOKUP(I60,DRIVING_TO_PLUGGED_IN[],3,FALSE),
        "PLUGGED_IN",
        K59),
      K59)),
IF(K59="PARKED",
  IFERROR(
    IF(M60&lt;VLOOKUP(I60,PARKED_TO_DRIVING[],3,FALSE),
      "DRIVING",
      K59),
    K59),
  K59)))))</f>
        <v>PARKED</v>
      </c>
      <c r="L60" s="19">
        <f t="shared" si="3"/>
        <v>0.7332872504</v>
      </c>
      <c r="M60" s="17">
        <f t="shared" si="2"/>
        <v>0.650067078</v>
      </c>
    </row>
    <row r="61" ht="22.5" customHeight="1">
      <c r="I61" s="15">
        <v>15.0</v>
      </c>
      <c r="J61" s="14">
        <v>0.3125</v>
      </c>
      <c r="K61" s="18" t="str">
        <f>IF(AND(K60="PLUGGED_IN", L60&gt;=0.8),
  "PLUGGED_IDLE",
IF(K60="PLUGGED_IDLE",
  IFERROR(
    IF(M61&lt;VLOOKUP(I61,PLUGGED_IN_TO_DRIVING[],3,FALSE),
      "DRIVING",
      K60),
    K60),
IF(K60="PLUGGED_IN",
  IFERROR(
    IF(M61&lt;VLOOKUP(I61,PLUGGED_IN_TO_DRIVING[],3,FALSE),
      "DRIVING",
      K60),
    K60),
IF(K60="DRIVING",
  IFERROR(
    IF(M61&lt;VLOOKUP(I61,DRIVING_TO_PARKED[],3,FALSE),
      "PARKED",
    IFERROR(
      IF(M61&lt;VLOOKUP(I61,DRIVING_TO_PLUGGED_IN[],3,FALSE),
        "PLUGGED_IN",
        K60),
      K60)),
    IFERROR(
      IF(M61&lt;VLOOKUP(I61,DRIVING_TO_PLUGGED_IN[],3,FALSE),
        "PLUGGED_IN",
        K60),
      K60)),
IF(K60="PARKED",
  IFERROR(
    IF(M61&lt;VLOOKUP(I61,PARKED_TO_DRIVING[],3,FALSE),
      "DRIVING",
      K60),
    K60),
  K60)))))</f>
        <v>PARKED</v>
      </c>
      <c r="L61" s="19">
        <f t="shared" si="3"/>
        <v>0.7332872504</v>
      </c>
      <c r="M61" s="17">
        <f t="shared" si="2"/>
        <v>0.4035300276</v>
      </c>
    </row>
    <row r="62" ht="22.5" customHeight="1">
      <c r="I62" s="15">
        <v>16.0</v>
      </c>
      <c r="J62" s="14">
        <v>0.3333333333333333</v>
      </c>
      <c r="K62" s="18" t="str">
        <f>IF(AND(K61="PLUGGED_IN", L61&gt;=0.8),
  "PLUGGED_IDLE",
IF(K61="PLUGGED_IDLE",
  IFERROR(
    IF(M62&lt;VLOOKUP(I62,PLUGGED_IN_TO_DRIVING[],3,FALSE),
      "DRIVING",
      K61),
    K61),
IF(K61="PLUGGED_IN",
  IFERROR(
    IF(M62&lt;VLOOKUP(I62,PLUGGED_IN_TO_DRIVING[],3,FALSE),
      "DRIVING",
      K61),
    K61),
IF(K61="DRIVING",
  IFERROR(
    IF(M62&lt;VLOOKUP(I62,DRIVING_TO_PARKED[],3,FALSE),
      "PARKED",
    IFERROR(
      IF(M62&lt;VLOOKUP(I62,DRIVING_TO_PLUGGED_IN[],3,FALSE),
        "PLUGGED_IN",
        K61),
      K61)),
    IFERROR(
      IF(M62&lt;VLOOKUP(I62,DRIVING_TO_PLUGGED_IN[],3,FALSE),
        "PLUGGED_IN",
        K61),
      K61)),
IF(K61="PARKED",
  IFERROR(
    IF(M62&lt;VLOOKUP(I62,PARKED_TO_DRIVING[],3,FALSE),
      "DRIVING",
      K61),
    K61),
  K61)))))</f>
        <v>PARKED</v>
      </c>
      <c r="L62" s="19">
        <f t="shared" si="3"/>
        <v>0.7332872504</v>
      </c>
      <c r="M62" s="17">
        <f t="shared" si="2"/>
        <v>0.3900077781</v>
      </c>
    </row>
    <row r="63" ht="22.5" customHeight="1">
      <c r="I63" s="15">
        <v>17.0</v>
      </c>
      <c r="J63" s="14">
        <v>0.3541666666666667</v>
      </c>
      <c r="K63" s="18" t="str">
        <f>IF(AND(K62="PLUGGED_IN", L62&gt;=0.8),
  "PLUGGED_IDLE",
IF(K62="PLUGGED_IDLE",
  IFERROR(
    IF(M63&lt;VLOOKUP(I63,PLUGGED_IN_TO_DRIVING[],3,FALSE),
      "DRIVING",
      K62),
    K62),
IF(K62="PLUGGED_IN",
  IFERROR(
    IF(M63&lt;VLOOKUP(I63,PLUGGED_IN_TO_DRIVING[],3,FALSE),
      "DRIVING",
      K62),
    K62),
IF(K62="DRIVING",
  IFERROR(
    IF(M63&lt;VLOOKUP(I63,DRIVING_TO_PARKED[],3,FALSE),
      "PARKED",
    IFERROR(
      IF(M63&lt;VLOOKUP(I63,DRIVING_TO_PLUGGED_IN[],3,FALSE),
        "PLUGGED_IN",
        K62),
      K62)),
    IFERROR(
      IF(M63&lt;VLOOKUP(I63,DRIVING_TO_PLUGGED_IN[],3,FALSE),
        "PLUGGED_IN",
        K62),
      K62)),
IF(K62="PARKED",
  IFERROR(
    IF(M63&lt;VLOOKUP(I63,PARKED_TO_DRIVING[],3,FALSE),
      "DRIVING",
      K62),
    K62),
  K62)))))</f>
        <v>PARKED</v>
      </c>
      <c r="L63" s="19">
        <f t="shared" si="3"/>
        <v>0.7332872504</v>
      </c>
      <c r="M63" s="17">
        <f t="shared" si="2"/>
        <v>0.155327834</v>
      </c>
    </row>
    <row r="64" ht="22.5" customHeight="1">
      <c r="I64" s="15">
        <v>18.0</v>
      </c>
      <c r="J64" s="14">
        <v>0.375</v>
      </c>
      <c r="K64" s="18" t="str">
        <f>IF(AND(K63="PLUGGED_IN", L63&gt;=0.8),
  "PLUGGED_IDLE",
IF(K63="PLUGGED_IDLE",
  IFERROR(
    IF(M64&lt;VLOOKUP(I64,PLUGGED_IN_TO_DRIVING[],3,FALSE),
      "DRIVING",
      K63),
    K63),
IF(K63="PLUGGED_IN",
  IFERROR(
    IF(M64&lt;VLOOKUP(I64,PLUGGED_IN_TO_DRIVING[],3,FALSE),
      "DRIVING",
      K63),
    K63),
IF(K63="DRIVING",
  IFERROR(
    IF(M64&lt;VLOOKUP(I64,DRIVING_TO_PARKED[],3,FALSE),
      "PARKED",
    IFERROR(
      IF(M64&lt;VLOOKUP(I64,DRIVING_TO_PLUGGED_IN[],3,FALSE),
        "PLUGGED_IN",
        K63),
      K63)),
    IFERROR(
      IF(M64&lt;VLOOKUP(I64,DRIVING_TO_PLUGGED_IN[],3,FALSE),
        "PLUGGED_IN",
        K63),
      K63)),
IF(K63="PARKED",
  IFERROR(
    IF(M64&lt;VLOOKUP(I64,PARKED_TO_DRIVING[],3,FALSE),
      "DRIVING",
      K63),
    K63),
  K63)))))</f>
        <v>PARKED</v>
      </c>
      <c r="L64" s="19">
        <f t="shared" si="3"/>
        <v>0.7332872504</v>
      </c>
      <c r="M64" s="17">
        <f t="shared" si="2"/>
        <v>0.7612403805</v>
      </c>
    </row>
    <row r="65" ht="22.5" customHeight="1">
      <c r="I65" s="15">
        <v>19.0</v>
      </c>
      <c r="J65" s="14">
        <v>0.3958333333333333</v>
      </c>
      <c r="K65" s="18" t="str">
        <f>IF(AND(K64="PLUGGED_IN", L64&gt;=0.8),
  "PLUGGED_IDLE",
IF(K64="PLUGGED_IDLE",
  IFERROR(
    IF(M65&lt;VLOOKUP(I65,PLUGGED_IN_TO_DRIVING[],3,FALSE),
      "DRIVING",
      K64),
    K64),
IF(K64="PLUGGED_IN",
  IFERROR(
    IF(M65&lt;VLOOKUP(I65,PLUGGED_IN_TO_DRIVING[],3,FALSE),
      "DRIVING",
      K64),
    K64),
IF(K64="DRIVING",
  IFERROR(
    IF(M65&lt;VLOOKUP(I65,DRIVING_TO_PARKED[],3,FALSE),
      "PARKED",
    IFERROR(
      IF(M65&lt;VLOOKUP(I65,DRIVING_TO_PLUGGED_IN[],3,FALSE),
        "PLUGGED_IN",
        K64),
      K64)),
    IFERROR(
      IF(M65&lt;VLOOKUP(I65,DRIVING_TO_PLUGGED_IN[],3,FALSE),
        "PLUGGED_IN",
        K64),
      K64)),
IF(K64="PARKED",
  IFERROR(
    IF(M65&lt;VLOOKUP(I65,PARKED_TO_DRIVING[],3,FALSE),
      "DRIVING",
      K64),
    K64),
  K64)))))</f>
        <v>PARKED</v>
      </c>
      <c r="L65" s="19">
        <f t="shared" si="3"/>
        <v>0.7332872504</v>
      </c>
      <c r="M65" s="17">
        <f t="shared" si="2"/>
        <v>0.7257961687</v>
      </c>
    </row>
    <row r="66" ht="22.5" customHeight="1">
      <c r="I66" s="15">
        <v>20.0</v>
      </c>
      <c r="J66" s="14">
        <v>0.4166666666666667</v>
      </c>
      <c r="K66" s="18" t="str">
        <f>IF(AND(K65="PLUGGED_IN", L65&gt;=0.8),
  "PLUGGED_IDLE",
IF(K65="PLUGGED_IDLE",
  IFERROR(
    IF(M66&lt;VLOOKUP(I66,PLUGGED_IN_TO_DRIVING[],3,FALSE),
      "DRIVING",
      K65),
    K65),
IF(K65="PLUGGED_IN",
  IFERROR(
    IF(M66&lt;VLOOKUP(I66,PLUGGED_IN_TO_DRIVING[],3,FALSE),
      "DRIVING",
      K65),
    K65),
IF(K65="DRIVING",
  IFERROR(
    IF(M66&lt;VLOOKUP(I66,DRIVING_TO_PARKED[],3,FALSE),
      "PARKED",
    IFERROR(
      IF(M66&lt;VLOOKUP(I66,DRIVING_TO_PLUGGED_IN[],3,FALSE),
        "PLUGGED_IN",
        K65),
      K65)),
    IFERROR(
      IF(M66&lt;VLOOKUP(I66,DRIVING_TO_PLUGGED_IN[],3,FALSE),
        "PLUGGED_IN",
        K65),
      K65)),
IF(K65="PARKED",
  IFERROR(
    IF(M66&lt;VLOOKUP(I66,PARKED_TO_DRIVING[],3,FALSE),
      "DRIVING",
      K65),
    K65),
  K65)))))</f>
        <v>PARKED</v>
      </c>
      <c r="L66" s="19">
        <f t="shared" si="3"/>
        <v>0.7332872504</v>
      </c>
      <c r="M66" s="17">
        <f t="shared" si="2"/>
        <v>0.3766204131</v>
      </c>
    </row>
    <row r="67" ht="22.5" customHeight="1">
      <c r="I67" s="15">
        <v>21.0</v>
      </c>
      <c r="J67" s="14">
        <v>0.4375</v>
      </c>
      <c r="K67" s="18" t="str">
        <f>IF(AND(K66="PLUGGED_IN", L66&gt;=0.8),
  "PLUGGED_IDLE",
IF(K66="PLUGGED_IDLE",
  IFERROR(
    IF(M67&lt;VLOOKUP(I67,PLUGGED_IN_TO_DRIVING[],3,FALSE),
      "DRIVING",
      K66),
    K66),
IF(K66="PLUGGED_IN",
  IFERROR(
    IF(M67&lt;VLOOKUP(I67,PLUGGED_IN_TO_DRIVING[],3,FALSE),
      "DRIVING",
      K66),
    K66),
IF(K66="DRIVING",
  IFERROR(
    IF(M67&lt;VLOOKUP(I67,DRIVING_TO_PARKED[],3,FALSE),
      "PARKED",
    IFERROR(
      IF(M67&lt;VLOOKUP(I67,DRIVING_TO_PLUGGED_IN[],3,FALSE),
        "PLUGGED_IN",
        K66),
      K66)),
    IFERROR(
      IF(M67&lt;VLOOKUP(I67,DRIVING_TO_PLUGGED_IN[],3,FALSE),
        "PLUGGED_IN",
        K66),
      K66)),
IF(K66="PARKED",
  IFERROR(
    IF(M67&lt;VLOOKUP(I67,PARKED_TO_DRIVING[],3,FALSE),
      "DRIVING",
      K66),
    K66),
  K66)))))</f>
        <v>PARKED</v>
      </c>
      <c r="L67" s="19">
        <f t="shared" si="3"/>
        <v>0.7332872504</v>
      </c>
      <c r="M67" s="17">
        <f t="shared" si="2"/>
        <v>0.3047600275</v>
      </c>
    </row>
    <row r="68" ht="22.5" customHeight="1">
      <c r="I68" s="15">
        <v>22.0</v>
      </c>
      <c r="J68" s="14">
        <v>0.4583333333333333</v>
      </c>
      <c r="K68" s="18" t="str">
        <f>IF(AND(K67="PLUGGED_IN", L67&gt;=0.8),
  "PLUGGED_IDLE",
IF(K67="PLUGGED_IDLE",
  IFERROR(
    IF(M68&lt;VLOOKUP(I68,PLUGGED_IN_TO_DRIVING[],3,FALSE),
      "DRIVING",
      K67),
    K67),
IF(K67="PLUGGED_IN",
  IFERROR(
    IF(M68&lt;VLOOKUP(I68,PLUGGED_IN_TO_DRIVING[],3,FALSE),
      "DRIVING",
      K67),
    K67),
IF(K67="DRIVING",
  IFERROR(
    IF(M68&lt;VLOOKUP(I68,DRIVING_TO_PARKED[],3,FALSE),
      "PARKED",
    IFERROR(
      IF(M68&lt;VLOOKUP(I68,DRIVING_TO_PLUGGED_IN[],3,FALSE),
        "PLUGGED_IN",
        K67),
      K67)),
    IFERROR(
      IF(M68&lt;VLOOKUP(I68,DRIVING_TO_PLUGGED_IN[],3,FALSE),
        "PLUGGED_IN",
        K67),
      K67)),
IF(K67="PARKED",
  IFERROR(
    IF(M68&lt;VLOOKUP(I68,PARKED_TO_DRIVING[],3,FALSE),
      "DRIVING",
      K67),
    K67),
  K67)))))</f>
        <v>PARKED</v>
      </c>
      <c r="L68" s="19">
        <f t="shared" si="3"/>
        <v>0.7332872504</v>
      </c>
      <c r="M68" s="17">
        <f t="shared" si="2"/>
        <v>0.4486223291</v>
      </c>
    </row>
    <row r="69" ht="22.5" customHeight="1">
      <c r="I69" s="15">
        <v>23.0</v>
      </c>
      <c r="J69" s="14">
        <v>0.4791666666666667</v>
      </c>
      <c r="K69" s="18" t="str">
        <f>IF(AND(K68="PLUGGED_IN", L68&gt;=0.8),
  "PLUGGED_IDLE",
IF(K68="PLUGGED_IDLE",
  IFERROR(
    IF(M69&lt;VLOOKUP(I69,PLUGGED_IN_TO_DRIVING[],3,FALSE),
      "DRIVING",
      K68),
    K68),
IF(K68="PLUGGED_IN",
  IFERROR(
    IF(M69&lt;VLOOKUP(I69,PLUGGED_IN_TO_DRIVING[],3,FALSE),
      "DRIVING",
      K68),
    K68),
IF(K68="DRIVING",
  IFERROR(
    IF(M69&lt;VLOOKUP(I69,DRIVING_TO_PARKED[],3,FALSE),
      "PARKED",
    IFERROR(
      IF(M69&lt;VLOOKUP(I69,DRIVING_TO_PLUGGED_IN[],3,FALSE),
        "PLUGGED_IN",
        K68),
      K68)),
    IFERROR(
      IF(M69&lt;VLOOKUP(I69,DRIVING_TO_PLUGGED_IN[],3,FALSE),
        "PLUGGED_IN",
        K68),
      K68)),
IF(K68="PARKED",
  IFERROR(
    IF(M69&lt;VLOOKUP(I69,PARKED_TO_DRIVING[],3,FALSE),
      "DRIVING",
      K68),
    K68),
  K68)))))</f>
        <v>PARKED</v>
      </c>
      <c r="L69" s="19">
        <f t="shared" si="3"/>
        <v>0.7332872504</v>
      </c>
      <c r="M69" s="17">
        <f t="shared" si="2"/>
        <v>0.4400734352</v>
      </c>
    </row>
    <row r="70" ht="22.5" customHeight="1">
      <c r="I70" s="15">
        <v>24.0</v>
      </c>
      <c r="J70" s="14">
        <v>0.5</v>
      </c>
      <c r="K70" s="18" t="str">
        <f>IF(AND(K69="PLUGGED_IN", L69&gt;=0.8),
  "PLUGGED_IDLE",
IF(K69="PLUGGED_IDLE",
  IFERROR(
    IF(M70&lt;VLOOKUP(I70,PLUGGED_IN_TO_DRIVING[],3,FALSE),
      "DRIVING",
      K69),
    K69),
IF(K69="PLUGGED_IN",
  IFERROR(
    IF(M70&lt;VLOOKUP(I70,PLUGGED_IN_TO_DRIVING[],3,FALSE),
      "DRIVING",
      K69),
    K69),
IF(K69="DRIVING",
  IFERROR(
    IF(M70&lt;VLOOKUP(I70,DRIVING_TO_PARKED[],3,FALSE),
      "PARKED",
    IFERROR(
      IF(M70&lt;VLOOKUP(I70,DRIVING_TO_PLUGGED_IN[],3,FALSE),
        "PLUGGED_IN",
        K69),
      K69)),
    IFERROR(
      IF(M70&lt;VLOOKUP(I70,DRIVING_TO_PLUGGED_IN[],3,FALSE),
        "PLUGGED_IN",
        K69),
      K69)),
IF(K69="PARKED",
  IFERROR(
    IF(M70&lt;VLOOKUP(I70,PARKED_TO_DRIVING[],3,FALSE),
      "DRIVING",
      K69),
    K69),
  K69)))))</f>
        <v>PARKED</v>
      </c>
      <c r="L70" s="19">
        <f t="shared" si="3"/>
        <v>0.7332872504</v>
      </c>
      <c r="M70" s="17">
        <f t="shared" si="2"/>
        <v>0.4827953804</v>
      </c>
    </row>
    <row r="71" ht="22.5" customHeight="1">
      <c r="I71" s="15">
        <v>25.0</v>
      </c>
      <c r="J71" s="14">
        <v>0.5208333333333334</v>
      </c>
      <c r="K71" s="18" t="str">
        <f>IF(AND(K70="PLUGGED_IN", L70&gt;=0.8),
  "PLUGGED_IDLE",
IF(K70="PLUGGED_IDLE",
  IFERROR(
    IF(M71&lt;VLOOKUP(I71,PLUGGED_IN_TO_DRIVING[],3,FALSE),
      "DRIVING",
      K70),
    K70),
IF(K70="PLUGGED_IN",
  IFERROR(
    IF(M71&lt;VLOOKUP(I71,PLUGGED_IN_TO_DRIVING[],3,FALSE),
      "DRIVING",
      K70),
    K70),
IF(K70="DRIVING",
  IFERROR(
    IF(M71&lt;VLOOKUP(I71,DRIVING_TO_PARKED[],3,FALSE),
      "PARKED",
    IFERROR(
      IF(M71&lt;VLOOKUP(I71,DRIVING_TO_PLUGGED_IN[],3,FALSE),
        "PLUGGED_IN",
        K70),
      K70)),
    IFERROR(
      IF(M71&lt;VLOOKUP(I71,DRIVING_TO_PLUGGED_IN[],3,FALSE),
        "PLUGGED_IN",
        K70),
      K70)),
IF(K70="PARKED",
  IFERROR(
    IF(M71&lt;VLOOKUP(I71,PARKED_TO_DRIVING[],3,FALSE),
      "DRIVING",
      K70),
    K70),
  K70)))))</f>
        <v>PARKED</v>
      </c>
      <c r="L71" s="19">
        <f t="shared" si="3"/>
        <v>0.7332872504</v>
      </c>
      <c r="M71" s="17">
        <f t="shared" si="2"/>
        <v>0.4781495371</v>
      </c>
    </row>
    <row r="72" ht="22.5" customHeight="1">
      <c r="I72" s="15">
        <v>26.0</v>
      </c>
      <c r="J72" s="14">
        <v>0.5416666666666666</v>
      </c>
      <c r="K72" s="18" t="str">
        <f>IF(AND(K71="PLUGGED_IN", L71&gt;=0.8),
  "PLUGGED_IDLE",
IF(K71="PLUGGED_IDLE",
  IFERROR(
    IF(M72&lt;VLOOKUP(I72,PLUGGED_IN_TO_DRIVING[],3,FALSE),
      "DRIVING",
      K71),
    K71),
IF(K71="PLUGGED_IN",
  IFERROR(
    IF(M72&lt;VLOOKUP(I72,PLUGGED_IN_TO_DRIVING[],3,FALSE),
      "DRIVING",
      K71),
    K71),
IF(K71="DRIVING",
  IFERROR(
    IF(M72&lt;VLOOKUP(I72,DRIVING_TO_PARKED[],3,FALSE),
      "PARKED",
    IFERROR(
      IF(M72&lt;VLOOKUP(I72,DRIVING_TO_PLUGGED_IN[],3,FALSE),
        "PLUGGED_IN",
        K71),
      K71)),
    IFERROR(
      IF(M72&lt;VLOOKUP(I72,DRIVING_TO_PLUGGED_IN[],3,FALSE),
        "PLUGGED_IN",
        K71),
      K71)),
IF(K71="PARKED",
  IFERROR(
    IF(M72&lt;VLOOKUP(I72,PARKED_TO_DRIVING[],3,FALSE),
      "DRIVING",
      K71),
    K71),
  K71)))))</f>
        <v>PARKED</v>
      </c>
      <c r="L72" s="19">
        <f t="shared" si="3"/>
        <v>0.7332872504</v>
      </c>
      <c r="M72" s="17">
        <f t="shared" si="2"/>
        <v>0.2811113465</v>
      </c>
    </row>
    <row r="73" ht="22.5" customHeight="1">
      <c r="I73" s="15">
        <v>27.0</v>
      </c>
      <c r="J73" s="14">
        <v>0.5625</v>
      </c>
      <c r="K73" s="18" t="str">
        <f>IF(AND(K72="PLUGGED_IN", L72&gt;=0.8),
  "PLUGGED_IDLE",
IF(K72="PLUGGED_IDLE",
  IFERROR(
    IF(M73&lt;VLOOKUP(I73,PLUGGED_IN_TO_DRIVING[],3,FALSE),
      "DRIVING",
      K72),
    K72),
IF(K72="PLUGGED_IN",
  IFERROR(
    IF(M73&lt;VLOOKUP(I73,PLUGGED_IN_TO_DRIVING[],3,FALSE),
      "DRIVING",
      K72),
    K72),
IF(K72="DRIVING",
  IFERROR(
    IF(M73&lt;VLOOKUP(I73,DRIVING_TO_PARKED[],3,FALSE),
      "PARKED",
    IFERROR(
      IF(M73&lt;VLOOKUP(I73,DRIVING_TO_PLUGGED_IN[],3,FALSE),
        "PLUGGED_IN",
        K72),
      K72)),
    IFERROR(
      IF(M73&lt;VLOOKUP(I73,DRIVING_TO_PLUGGED_IN[],3,FALSE),
        "PLUGGED_IN",
        K72),
      K72)),
IF(K72="PARKED",
  IFERROR(
    IF(M73&lt;VLOOKUP(I73,PARKED_TO_DRIVING[],3,FALSE),
      "DRIVING",
      K72),
    K72),
  K72)))))</f>
        <v>PARKED</v>
      </c>
      <c r="L73" s="19">
        <f t="shared" si="3"/>
        <v>0.7332872504</v>
      </c>
      <c r="M73" s="17">
        <f t="shared" si="2"/>
        <v>0.4602986187</v>
      </c>
    </row>
    <row r="74" ht="22.5" customHeight="1">
      <c r="I74" s="15">
        <v>28.0</v>
      </c>
      <c r="J74" s="14">
        <v>0.5833333333333334</v>
      </c>
      <c r="K74" s="18" t="str">
        <f>IF(AND(K73="PLUGGED_IN", L73&gt;=0.8),
  "PLUGGED_IDLE",
IF(K73="PLUGGED_IDLE",
  IFERROR(
    IF(M74&lt;VLOOKUP(I74,PLUGGED_IN_TO_DRIVING[],3,FALSE),
      "DRIVING",
      K73),
    K73),
IF(K73="PLUGGED_IN",
  IFERROR(
    IF(M74&lt;VLOOKUP(I74,PLUGGED_IN_TO_DRIVING[],3,FALSE),
      "DRIVING",
      K73),
    K73),
IF(K73="DRIVING",
  IFERROR(
    IF(M74&lt;VLOOKUP(I74,DRIVING_TO_PARKED[],3,FALSE),
      "PARKED",
    IFERROR(
      IF(M74&lt;VLOOKUP(I74,DRIVING_TO_PLUGGED_IN[],3,FALSE),
        "PLUGGED_IN",
        K73),
      K73)),
    IFERROR(
      IF(M74&lt;VLOOKUP(I74,DRIVING_TO_PLUGGED_IN[],3,FALSE),
        "PLUGGED_IN",
        K73),
      K73)),
IF(K73="PARKED",
  IFERROR(
    IF(M74&lt;VLOOKUP(I74,PARKED_TO_DRIVING[],3,FALSE),
      "DRIVING",
      K73),
    K73),
  K73)))))</f>
        <v>PARKED</v>
      </c>
      <c r="L74" s="19">
        <f t="shared" si="3"/>
        <v>0.7332872504</v>
      </c>
      <c r="M74" s="17">
        <f t="shared" si="2"/>
        <v>0.01626709796</v>
      </c>
    </row>
    <row r="75" ht="22.5" customHeight="1">
      <c r="I75" s="15">
        <v>29.0</v>
      </c>
      <c r="J75" s="14">
        <v>0.6041666666666666</v>
      </c>
      <c r="K75" s="18" t="str">
        <f>IF(AND(K74="PLUGGED_IN", L74&gt;=0.8),
  "PLUGGED_IDLE",
IF(K74="PLUGGED_IDLE",
  IFERROR(
    IF(M75&lt;VLOOKUP(I75,PLUGGED_IN_TO_DRIVING[],3,FALSE),
      "DRIVING",
      K74),
    K74),
IF(K74="PLUGGED_IN",
  IFERROR(
    IF(M75&lt;VLOOKUP(I75,PLUGGED_IN_TO_DRIVING[],3,FALSE),
      "DRIVING",
      K74),
    K74),
IF(K74="DRIVING",
  IFERROR(
    IF(M75&lt;VLOOKUP(I75,DRIVING_TO_PARKED[],3,FALSE),
      "PARKED",
    IFERROR(
      IF(M75&lt;VLOOKUP(I75,DRIVING_TO_PLUGGED_IN[],3,FALSE),
        "PLUGGED_IN",
        K74),
      K74)),
    IFERROR(
      IF(M75&lt;VLOOKUP(I75,DRIVING_TO_PLUGGED_IN[],3,FALSE),
        "PLUGGED_IN",
        K74),
      K74)),
IF(K74="PARKED",
  IFERROR(
    IF(M75&lt;VLOOKUP(I75,PARKED_TO_DRIVING[],3,FALSE),
      "DRIVING",
      K74),
    K74),
  K74)))))</f>
        <v>PARKED</v>
      </c>
      <c r="L75" s="19">
        <f t="shared" si="3"/>
        <v>0.7332872504</v>
      </c>
      <c r="M75" s="17">
        <f t="shared" si="2"/>
        <v>0.2073965562</v>
      </c>
    </row>
    <row r="76" ht="22.5" customHeight="1">
      <c r="I76" s="15">
        <v>30.0</v>
      </c>
      <c r="J76" s="14">
        <v>0.625</v>
      </c>
      <c r="K76" s="18" t="str">
        <f>IF(AND(K75="PLUGGED_IN", L75&gt;=0.8),
  "PLUGGED_IDLE",
IF(K75="PLUGGED_IDLE",
  IFERROR(
    IF(M76&lt;VLOOKUP(I76,PLUGGED_IN_TO_DRIVING[],3,FALSE),
      "DRIVING",
      K75),
    K75),
IF(K75="PLUGGED_IN",
  IFERROR(
    IF(M76&lt;VLOOKUP(I76,PLUGGED_IN_TO_DRIVING[],3,FALSE),
      "DRIVING",
      K75),
    K75),
IF(K75="DRIVING",
  IFERROR(
    IF(M76&lt;VLOOKUP(I76,DRIVING_TO_PARKED[],3,FALSE),
      "PARKED",
    IFERROR(
      IF(M76&lt;VLOOKUP(I76,DRIVING_TO_PLUGGED_IN[],3,FALSE),
        "PLUGGED_IN",
        K75),
      K75)),
    IFERROR(
      IF(M76&lt;VLOOKUP(I76,DRIVING_TO_PLUGGED_IN[],3,FALSE),
        "PLUGGED_IN",
        K75),
      K75)),
IF(K75="PARKED",
  IFERROR(
    IF(M76&lt;VLOOKUP(I76,PARKED_TO_DRIVING[],3,FALSE),
      "DRIVING",
      K75),
    K75),
  K75)))))</f>
        <v>PARKED</v>
      </c>
      <c r="L76" s="19">
        <f t="shared" si="3"/>
        <v>0.7332872504</v>
      </c>
      <c r="M76" s="17">
        <f t="shared" si="2"/>
        <v>0.05127764148</v>
      </c>
    </row>
    <row r="77" ht="22.5" customHeight="1">
      <c r="I77" s="15">
        <v>31.0</v>
      </c>
      <c r="J77" s="14">
        <v>0.6458333333333334</v>
      </c>
      <c r="K77" s="18" t="str">
        <f>IF(AND(K76="PLUGGED_IN", L76&gt;=0.8),
  "PLUGGED_IDLE",
IF(K76="PLUGGED_IDLE",
  IFERROR(
    IF(M77&lt;VLOOKUP(I77,PLUGGED_IN_TO_DRIVING[],3,FALSE),
      "DRIVING",
      K76),
    K76),
IF(K76="PLUGGED_IN",
  IFERROR(
    IF(M77&lt;VLOOKUP(I77,PLUGGED_IN_TO_DRIVING[],3,FALSE),
      "DRIVING",
      K76),
    K76),
IF(K76="DRIVING",
  IFERROR(
    IF(M77&lt;VLOOKUP(I77,DRIVING_TO_PARKED[],3,FALSE),
      "PARKED",
    IFERROR(
      IF(M77&lt;VLOOKUP(I77,DRIVING_TO_PLUGGED_IN[],3,FALSE),
        "PLUGGED_IN",
        K76),
      K76)),
    IFERROR(
      IF(M77&lt;VLOOKUP(I77,DRIVING_TO_PLUGGED_IN[],3,FALSE),
        "PLUGGED_IN",
        K76),
      K76)),
IF(K76="PARKED",
  IFERROR(
    IF(M77&lt;VLOOKUP(I77,PARKED_TO_DRIVING[],3,FALSE),
      "DRIVING",
      K76),
    K76),
  K76)))))</f>
        <v>PARKED</v>
      </c>
      <c r="L77" s="19">
        <f t="shared" si="3"/>
        <v>0.7332872504</v>
      </c>
      <c r="M77" s="17">
        <f t="shared" si="2"/>
        <v>0.1975732239</v>
      </c>
    </row>
    <row r="78" ht="22.5" customHeight="1">
      <c r="I78" s="15">
        <v>32.0</v>
      </c>
      <c r="J78" s="14">
        <v>0.6666666666666666</v>
      </c>
      <c r="K78" s="18" t="str">
        <f>IF(AND(K77="PLUGGED_IN", L77&gt;=0.8),
  "PLUGGED_IDLE",
IF(K77="PLUGGED_IDLE",
  IFERROR(
    IF(M78&lt;VLOOKUP(I78,PLUGGED_IN_TO_DRIVING[],3,FALSE),
      "DRIVING",
      K77),
    K77),
IF(K77="PLUGGED_IN",
  IFERROR(
    IF(M78&lt;VLOOKUP(I78,PLUGGED_IN_TO_DRIVING[],3,FALSE),
      "DRIVING",
      K77),
    K77),
IF(K77="DRIVING",
  IFERROR(
    IF(M78&lt;VLOOKUP(I78,DRIVING_TO_PARKED[],3,FALSE),
      "PARKED",
    IFERROR(
      IF(M78&lt;VLOOKUP(I78,DRIVING_TO_PLUGGED_IN[],3,FALSE),
        "PLUGGED_IN",
        K77),
      K77)),
    IFERROR(
      IF(M78&lt;VLOOKUP(I78,DRIVING_TO_PLUGGED_IN[],3,FALSE),
        "PLUGGED_IN",
        K77),
      K77)),
IF(K77="PARKED",
  IFERROR(
    IF(M78&lt;VLOOKUP(I78,PARKED_TO_DRIVING[],3,FALSE),
      "DRIVING",
      K77),
    K77),
  K77)))))</f>
        <v>PARKED</v>
      </c>
      <c r="L78" s="19">
        <f t="shared" si="3"/>
        <v>0.7332872504</v>
      </c>
      <c r="M78" s="17">
        <f t="shared" si="2"/>
        <v>0.5002325031</v>
      </c>
    </row>
    <row r="79" ht="22.5" customHeight="1">
      <c r="I79" s="15">
        <v>33.0</v>
      </c>
      <c r="J79" s="14">
        <v>0.6875</v>
      </c>
      <c r="K79" s="18" t="str">
        <f>IF(AND(K78="PLUGGED_IN", L78&gt;=0.8),
  "PLUGGED_IDLE",
IF(K78="PLUGGED_IDLE",
  IFERROR(
    IF(M79&lt;VLOOKUP(I79,PLUGGED_IN_TO_DRIVING[],3,FALSE),
      "DRIVING",
      K78),
    K78),
IF(K78="PLUGGED_IN",
  IFERROR(
    IF(M79&lt;VLOOKUP(I79,PLUGGED_IN_TO_DRIVING[],3,FALSE),
      "DRIVING",
      K78),
    K78),
IF(K78="DRIVING",
  IFERROR(
    IF(M79&lt;VLOOKUP(I79,DRIVING_TO_PARKED[],3,FALSE),
      "PARKED",
    IFERROR(
      IF(M79&lt;VLOOKUP(I79,DRIVING_TO_PLUGGED_IN[],3,FALSE),
        "PLUGGED_IN",
        K78),
      K78)),
    IFERROR(
      IF(M79&lt;VLOOKUP(I79,DRIVING_TO_PLUGGED_IN[],3,FALSE),
        "PLUGGED_IN",
        K78),
      K78)),
IF(K78="PARKED",
  IFERROR(
    IF(M79&lt;VLOOKUP(I79,PARKED_TO_DRIVING[],3,FALSE),
      "DRIVING",
      K78),
    K78),
  K78)))))</f>
        <v>PARKED</v>
      </c>
      <c r="L79" s="19">
        <f t="shared" si="3"/>
        <v>0.7332872504</v>
      </c>
      <c r="M79" s="17">
        <f t="shared" si="2"/>
        <v>0.7377617216</v>
      </c>
    </row>
    <row r="80" ht="22.5" customHeight="1">
      <c r="I80" s="15">
        <v>34.0</v>
      </c>
      <c r="J80" s="14">
        <v>0.7083333333333334</v>
      </c>
      <c r="K80" s="18" t="str">
        <f>IF(AND(K79="PLUGGED_IN", L79&gt;=0.8),
  "PLUGGED_IDLE",
IF(K79="PLUGGED_IDLE",
  IFERROR(
    IF(M80&lt;VLOOKUP(I80,PLUGGED_IN_TO_DRIVING[],3,FALSE),
      "DRIVING",
      K79),
    K79),
IF(K79="PLUGGED_IN",
  IFERROR(
    IF(M80&lt;VLOOKUP(I80,PLUGGED_IN_TO_DRIVING[],3,FALSE),
      "DRIVING",
      K79),
    K79),
IF(K79="DRIVING",
  IFERROR(
    IF(M80&lt;VLOOKUP(I80,DRIVING_TO_PARKED[],3,FALSE),
      "PARKED",
    IFERROR(
      IF(M80&lt;VLOOKUP(I80,DRIVING_TO_PLUGGED_IN[],3,FALSE),
        "PLUGGED_IN",
        K79),
      K79)),
    IFERROR(
      IF(M80&lt;VLOOKUP(I80,DRIVING_TO_PLUGGED_IN[],3,FALSE),
        "PLUGGED_IN",
        K79),
      K79)),
IF(K79="PARKED",
  IFERROR(
    IF(M80&lt;VLOOKUP(I80,PARKED_TO_DRIVING[],3,FALSE),
      "DRIVING",
      K79),
    K79),
  K79)))))</f>
        <v>PARKED</v>
      </c>
      <c r="L80" s="19">
        <f t="shared" si="3"/>
        <v>0.7332872504</v>
      </c>
      <c r="M80" s="17">
        <f t="shared" si="2"/>
        <v>0.7724908712</v>
      </c>
    </row>
    <row r="81" ht="22.5" customHeight="1">
      <c r="I81" s="15">
        <v>35.0</v>
      </c>
      <c r="J81" s="14">
        <v>0.7291666666666666</v>
      </c>
      <c r="K81" s="18" t="str">
        <f>IF(AND(K80="PLUGGED_IN", L80&gt;=0.8),
  "PLUGGED_IDLE",
IF(K80="PLUGGED_IDLE",
  IFERROR(
    IF(M81&lt;VLOOKUP(I81,PLUGGED_IN_TO_DRIVING[],3,FALSE),
      "DRIVING",
      K80),
    K80),
IF(K80="PLUGGED_IN",
  IFERROR(
    IF(M81&lt;VLOOKUP(I81,PLUGGED_IN_TO_DRIVING[],3,FALSE),
      "DRIVING",
      K80),
    K80),
IF(K80="DRIVING",
  IFERROR(
    IF(M81&lt;VLOOKUP(I81,DRIVING_TO_PARKED[],3,FALSE),
      "PARKED",
    IFERROR(
      IF(M81&lt;VLOOKUP(I81,DRIVING_TO_PLUGGED_IN[],3,FALSE),
        "PLUGGED_IN",
        K80),
      K80)),
    IFERROR(
      IF(M81&lt;VLOOKUP(I81,DRIVING_TO_PLUGGED_IN[],3,FALSE),
        "PLUGGED_IN",
        K80),
      K80)),
IF(K80="PARKED",
  IFERROR(
    IF(M81&lt;VLOOKUP(I81,PARKED_TO_DRIVING[],3,FALSE),
      "DRIVING",
      K80),
    K80),
  K80)))))</f>
        <v>PARKED</v>
      </c>
      <c r="L81" s="19">
        <f t="shared" si="3"/>
        <v>0.7332872504</v>
      </c>
      <c r="M81" s="17">
        <f t="shared" si="2"/>
        <v>0.593253621</v>
      </c>
    </row>
    <row r="82" ht="22.5" customHeight="1">
      <c r="I82" s="15">
        <v>36.0</v>
      </c>
      <c r="J82" s="14">
        <v>0.75</v>
      </c>
      <c r="K82" s="18" t="str">
        <f>IF(AND(K81="PLUGGED_IN", L81&gt;=0.8),
  "PLUGGED_IDLE",
IF(K81="PLUGGED_IDLE",
  IFERROR(
    IF(M82&lt;VLOOKUP(I82,PLUGGED_IN_TO_DRIVING[],3,FALSE),
      "DRIVING",
      K81),
    K81),
IF(K81="PLUGGED_IN",
  IFERROR(
    IF(M82&lt;VLOOKUP(I82,PLUGGED_IN_TO_DRIVING[],3,FALSE),
      "DRIVING",
      K81),
    K81),
IF(K81="DRIVING",
  IFERROR(
    IF(M82&lt;VLOOKUP(I82,DRIVING_TO_PARKED[],3,FALSE),
      "PARKED",
    IFERROR(
      IF(M82&lt;VLOOKUP(I82,DRIVING_TO_PLUGGED_IN[],3,FALSE),
        "PLUGGED_IN",
        K81),
      K81)),
    IFERROR(
      IF(M82&lt;VLOOKUP(I82,DRIVING_TO_PLUGGED_IN[],3,FALSE),
        "PLUGGED_IN",
        K81),
      K81)),
IF(K81="PARKED",
  IFERROR(
    IF(M82&lt;VLOOKUP(I82,PARKED_TO_DRIVING[],3,FALSE),
      "DRIVING",
      K81),
    K81),
  K81)))))</f>
        <v>DRIVING</v>
      </c>
      <c r="L82" s="19">
        <f t="shared" si="3"/>
        <v>0.6665745008</v>
      </c>
      <c r="M82" s="17">
        <f t="shared" si="2"/>
        <v>0.04608581954</v>
      </c>
    </row>
    <row r="83" ht="22.5" customHeight="1">
      <c r="I83" s="15">
        <v>37.0</v>
      </c>
      <c r="J83" s="14">
        <v>0.7708333333333334</v>
      </c>
      <c r="K83" s="18" t="str">
        <f>IF(AND(K82="PLUGGED_IN", L82&gt;=0.8),
  "PLUGGED_IDLE",
IF(K82="PLUGGED_IDLE",
  IFERROR(
    IF(M83&lt;VLOOKUP(I83,PLUGGED_IN_TO_DRIVING[],3,FALSE),
      "DRIVING",
      K82),
    K82),
IF(K82="PLUGGED_IN",
  IFERROR(
    IF(M83&lt;VLOOKUP(I83,PLUGGED_IN_TO_DRIVING[],3,FALSE),
      "DRIVING",
      K82),
    K82),
IF(K82="DRIVING",
  IFERROR(
    IF(M83&lt;VLOOKUP(I83,DRIVING_TO_PARKED[],3,FALSE),
      "PARKED",
    IFERROR(
      IF(M83&lt;VLOOKUP(I83,DRIVING_TO_PLUGGED_IN[],3,FALSE),
        "PLUGGED_IN",
        K82),
      K82)),
    IFERROR(
      IF(M83&lt;VLOOKUP(I83,DRIVING_TO_PLUGGED_IN[],3,FALSE),
        "PLUGGED_IN",
        K82),
      K82)),
IF(K82="PARKED",
  IFERROR(
    IF(M83&lt;VLOOKUP(I83,PARKED_TO_DRIVING[],3,FALSE),
      "DRIVING",
      K82),
    K82),
  K82)))))</f>
        <v>PLUGGED_IN</v>
      </c>
      <c r="L83" s="19">
        <f t="shared" si="3"/>
        <v>0.7249078341</v>
      </c>
      <c r="M83" s="17">
        <f t="shared" si="2"/>
        <v>0.0536478018</v>
      </c>
      <c r="P83" s="2" t="s">
        <v>77</v>
      </c>
    </row>
    <row r="84" ht="22.5" customHeight="1">
      <c r="I84" s="15">
        <v>38.0</v>
      </c>
      <c r="J84" s="14">
        <v>0.7916666666666666</v>
      </c>
      <c r="K84" s="18" t="str">
        <f>IF(AND(K83="PLUGGED_IN", L83&gt;=0.8),
  "PLUGGED_IDLE",
IF(K83="PLUGGED_IDLE",
  IFERROR(
    IF(M84&lt;VLOOKUP(I84,PLUGGED_IN_TO_DRIVING[],3,FALSE),
      "DRIVING",
      K83),
    K83),
IF(K83="PLUGGED_IN",
  IFERROR(
    IF(M84&lt;VLOOKUP(I84,PLUGGED_IN_TO_DRIVING[],3,FALSE),
      "DRIVING",
      K83),
    K83),
IF(K83="DRIVING",
  IFERROR(
    IF(M84&lt;VLOOKUP(I84,DRIVING_TO_PARKED[],3,FALSE),
      "PARKED",
    IFERROR(
      IF(M84&lt;VLOOKUP(I84,DRIVING_TO_PLUGGED_IN[],3,FALSE),
        "PLUGGED_IN",
        K83),
      K83)),
    IFERROR(
      IF(M84&lt;VLOOKUP(I84,DRIVING_TO_PLUGGED_IN[],3,FALSE),
        "PLUGGED_IN",
        K83),
      K83)),
IF(K83="PARKED",
  IFERROR(
    IF(M84&lt;VLOOKUP(I84,PARKED_TO_DRIVING[],3,FALSE),
      "DRIVING",
      K83),
    K83),
  K83)))))</f>
        <v>PLUGGED_IN</v>
      </c>
      <c r="L84" s="19">
        <f t="shared" si="3"/>
        <v>0.7832411674</v>
      </c>
      <c r="M84" s="17">
        <f t="shared" si="2"/>
        <v>0.5745474472</v>
      </c>
    </row>
    <row r="85" ht="22.5" customHeight="1">
      <c r="I85" s="15">
        <v>39.0</v>
      </c>
      <c r="J85" s="14">
        <v>0.8125</v>
      </c>
      <c r="K85" s="18" t="str">
        <f>IF(AND(K84="PLUGGED_IN", L84&gt;=0.8),
  "PLUGGED_IDLE",
IF(K84="PLUGGED_IDLE",
  IFERROR(
    IF(M85&lt;VLOOKUP(I85,PLUGGED_IN_TO_DRIVING[],3,FALSE),
      "DRIVING",
      K84),
    K84),
IF(K84="PLUGGED_IN",
  IFERROR(
    IF(M85&lt;VLOOKUP(I85,PLUGGED_IN_TO_DRIVING[],3,FALSE),
      "DRIVING",
      K84),
    K84),
IF(K84="DRIVING",
  IFERROR(
    IF(M85&lt;VLOOKUP(I85,DRIVING_TO_PARKED[],3,FALSE),
      "PARKED",
    IFERROR(
      IF(M85&lt;VLOOKUP(I85,DRIVING_TO_PLUGGED_IN[],3,FALSE),
        "PLUGGED_IN",
        K84),
      K84)),
    IFERROR(
      IF(M85&lt;VLOOKUP(I85,DRIVING_TO_PLUGGED_IN[],3,FALSE),
        "PLUGGED_IN",
        K84),
      K84)),
IF(K84="PARKED",
  IFERROR(
    IF(M85&lt;VLOOKUP(I85,PARKED_TO_DRIVING[],3,FALSE),
      "DRIVING",
      K84),
    K84),
  K84)))))</f>
        <v>PLUGGED_IN</v>
      </c>
      <c r="L85" s="19">
        <f t="shared" si="3"/>
        <v>0.8</v>
      </c>
      <c r="M85" s="17">
        <f t="shared" si="2"/>
        <v>0.6531789223</v>
      </c>
    </row>
    <row r="86" ht="22.5" customHeight="1">
      <c r="I86" s="15">
        <v>40.0</v>
      </c>
      <c r="J86" s="14">
        <v>0.8333333333333334</v>
      </c>
      <c r="K86" s="18" t="str">
        <f>IF(AND(K85="PLUGGED_IN", L85&gt;=0.8),
  "PLUGGED_IDLE",
IF(K85="PLUGGED_IDLE",
  IFERROR(
    IF(M86&lt;VLOOKUP(I86,PLUGGED_IN_TO_DRIVING[],3,FALSE),
      "DRIVING",
      K85),
    K85),
IF(K85="PLUGGED_IN",
  IFERROR(
    IF(M86&lt;VLOOKUP(I86,PLUGGED_IN_TO_DRIVING[],3,FALSE),
      "DRIVING",
      K85),
    K85),
IF(K85="DRIVING",
  IFERROR(
    IF(M86&lt;VLOOKUP(I86,DRIVING_TO_PARKED[],3,FALSE),
      "PARKED",
    IFERROR(
      IF(M86&lt;VLOOKUP(I86,DRIVING_TO_PLUGGED_IN[],3,FALSE),
        "PLUGGED_IN",
        K85),
      K85)),
    IFERROR(
      IF(M86&lt;VLOOKUP(I86,DRIVING_TO_PLUGGED_IN[],3,FALSE),
        "PLUGGED_IN",
        K85),
      K85)),
IF(K85="PARKED",
  IFERROR(
    IF(M86&lt;VLOOKUP(I86,PARKED_TO_DRIVING[],3,FALSE),
      "DRIVING",
      K85),
    K85),
  K85)))))</f>
        <v>PLUGGED_IDLE</v>
      </c>
      <c r="L86" s="19">
        <f t="shared" si="3"/>
        <v>0.8</v>
      </c>
      <c r="M86" s="17">
        <f t="shared" si="2"/>
        <v>0.2582130003</v>
      </c>
    </row>
    <row r="87" ht="22.5" customHeight="1">
      <c r="I87" s="15">
        <v>41.0</v>
      </c>
      <c r="J87" s="14">
        <v>0.8541666666666666</v>
      </c>
      <c r="K87" s="18" t="str">
        <f>IF(AND(K86="PLUGGED_IN", L86&gt;=0.8),
  "PLUGGED_IDLE",
IF(K86="PLUGGED_IDLE",
  IFERROR(
    IF(M87&lt;VLOOKUP(I87,PLUGGED_IN_TO_DRIVING[],3,FALSE),
      "DRIVING",
      K86),
    K86),
IF(K86="PLUGGED_IN",
  IFERROR(
    IF(M87&lt;VLOOKUP(I87,PLUGGED_IN_TO_DRIVING[],3,FALSE),
      "DRIVING",
      K86),
    K86),
IF(K86="DRIVING",
  IFERROR(
    IF(M87&lt;VLOOKUP(I87,DRIVING_TO_PARKED[],3,FALSE),
      "PARKED",
    IFERROR(
      IF(M87&lt;VLOOKUP(I87,DRIVING_TO_PLUGGED_IN[],3,FALSE),
        "PLUGGED_IN",
        K86),
      K86)),
    IFERROR(
      IF(M87&lt;VLOOKUP(I87,DRIVING_TO_PLUGGED_IN[],3,FALSE),
        "PLUGGED_IN",
        K86),
      K86)),
IF(K86="PARKED",
  IFERROR(
    IF(M87&lt;VLOOKUP(I87,PARKED_TO_DRIVING[],3,FALSE),
      "DRIVING",
      K86),
    K86),
  K86)))))</f>
        <v>PLUGGED_IDLE</v>
      </c>
      <c r="L87" s="19">
        <f t="shared" si="3"/>
        <v>0.8</v>
      </c>
      <c r="M87" s="17">
        <f t="shared" si="2"/>
        <v>0.8434005217</v>
      </c>
    </row>
    <row r="88" ht="22.5" customHeight="1">
      <c r="I88" s="15">
        <v>42.0</v>
      </c>
      <c r="J88" s="14">
        <v>0.875</v>
      </c>
      <c r="K88" s="18" t="str">
        <f>IF(AND(K87="PLUGGED_IN", L87&gt;=0.8),
  "PLUGGED_IDLE",
IF(K87="PLUGGED_IDLE",
  IFERROR(
    IF(M88&lt;VLOOKUP(I88,PLUGGED_IN_TO_DRIVING[],3,FALSE),
      "DRIVING",
      K87),
    K87),
IF(K87="PLUGGED_IN",
  IFERROR(
    IF(M88&lt;VLOOKUP(I88,PLUGGED_IN_TO_DRIVING[],3,FALSE),
      "DRIVING",
      K87),
    K87),
IF(K87="DRIVING",
  IFERROR(
    IF(M88&lt;VLOOKUP(I88,DRIVING_TO_PARKED[],3,FALSE),
      "PARKED",
    IFERROR(
      IF(M88&lt;VLOOKUP(I88,DRIVING_TO_PLUGGED_IN[],3,FALSE),
        "PLUGGED_IN",
        K87),
      K87)),
    IFERROR(
      IF(M88&lt;VLOOKUP(I88,DRIVING_TO_PLUGGED_IN[],3,FALSE),
        "PLUGGED_IN",
        K87),
      K87)),
IF(K87="PARKED",
  IFERROR(
    IF(M88&lt;VLOOKUP(I88,PARKED_TO_DRIVING[],3,FALSE),
      "DRIVING",
      K87),
    K87),
  K87)))))</f>
        <v>PLUGGED_IDLE</v>
      </c>
      <c r="L88" s="19">
        <f t="shared" si="3"/>
        <v>0.8</v>
      </c>
      <c r="M88" s="17">
        <f t="shared" si="2"/>
        <v>0.08547438876</v>
      </c>
    </row>
    <row r="89" ht="22.5" customHeight="1">
      <c r="I89" s="15">
        <v>43.0</v>
      </c>
      <c r="J89" s="14">
        <v>0.8958333333333334</v>
      </c>
      <c r="K89" s="18" t="str">
        <f>IF(AND(K88="PLUGGED_IN", L88&gt;=0.8),
  "PLUGGED_IDLE",
IF(K88="PLUGGED_IDLE",
  IFERROR(
    IF(M89&lt;VLOOKUP(I89,PLUGGED_IN_TO_DRIVING[],3,FALSE),
      "DRIVING",
      K88),
    K88),
IF(K88="PLUGGED_IN",
  IFERROR(
    IF(M89&lt;VLOOKUP(I89,PLUGGED_IN_TO_DRIVING[],3,FALSE),
      "DRIVING",
      K88),
    K88),
IF(K88="DRIVING",
  IFERROR(
    IF(M89&lt;VLOOKUP(I89,DRIVING_TO_PARKED[],3,FALSE),
      "PARKED",
    IFERROR(
      IF(M89&lt;VLOOKUP(I89,DRIVING_TO_PLUGGED_IN[],3,FALSE),
        "PLUGGED_IN",
        K88),
      K88)),
    IFERROR(
      IF(M89&lt;VLOOKUP(I89,DRIVING_TO_PLUGGED_IN[],3,FALSE),
        "PLUGGED_IN",
        K88),
      K88)),
IF(K88="PARKED",
  IFERROR(
    IF(M89&lt;VLOOKUP(I89,PARKED_TO_DRIVING[],3,FALSE),
      "DRIVING",
      K88),
    K88),
  K88)))))</f>
        <v>PLUGGED_IDLE</v>
      </c>
      <c r="L89" s="19">
        <f t="shared" si="3"/>
        <v>0.8</v>
      </c>
      <c r="M89" s="17">
        <f t="shared" si="2"/>
        <v>0.6422467972</v>
      </c>
    </row>
    <row r="90" ht="22.5" customHeight="1">
      <c r="I90" s="15">
        <v>44.0</v>
      </c>
      <c r="J90" s="14">
        <v>0.9166666666666666</v>
      </c>
      <c r="K90" s="18" t="str">
        <f>IF(AND(K89="PLUGGED_IN", L89&gt;=0.8),
  "PLUGGED_IDLE",
IF(K89="PLUGGED_IDLE",
  IFERROR(
    IF(M90&lt;VLOOKUP(I90,PLUGGED_IN_TO_DRIVING[],3,FALSE),
      "DRIVING",
      K89),
    K89),
IF(K89="PLUGGED_IN",
  IFERROR(
    IF(M90&lt;VLOOKUP(I90,PLUGGED_IN_TO_DRIVING[],3,FALSE),
      "DRIVING",
      K89),
    K89),
IF(K89="DRIVING",
  IFERROR(
    IF(M90&lt;VLOOKUP(I90,DRIVING_TO_PARKED[],3,FALSE),
      "PARKED",
    IFERROR(
      IF(M90&lt;VLOOKUP(I90,DRIVING_TO_PLUGGED_IN[],3,FALSE),
        "PLUGGED_IN",
        K89),
      K89)),
    IFERROR(
      IF(M90&lt;VLOOKUP(I90,DRIVING_TO_PLUGGED_IN[],3,FALSE),
        "PLUGGED_IN",
        K89),
      K89)),
IF(K89="PARKED",
  IFERROR(
    IF(M90&lt;VLOOKUP(I90,PARKED_TO_DRIVING[],3,FALSE),
      "DRIVING",
      K89),
    K89),
  K89)))))</f>
        <v>PLUGGED_IDLE</v>
      </c>
      <c r="L90" s="19">
        <f t="shared" si="3"/>
        <v>0.8</v>
      </c>
      <c r="M90" s="17">
        <f t="shared" si="2"/>
        <v>0.9660425179</v>
      </c>
    </row>
    <row r="91" ht="22.5" customHeight="1">
      <c r="I91" s="15">
        <v>45.0</v>
      </c>
      <c r="J91" s="14">
        <v>0.9375</v>
      </c>
      <c r="K91" s="18" t="str">
        <f>IF(AND(K90="PLUGGED_IN", L90&gt;=0.8),
  "PLUGGED_IDLE",
IF(K90="PLUGGED_IDLE",
  IFERROR(
    IF(M91&lt;VLOOKUP(I91,PLUGGED_IN_TO_DRIVING[],3,FALSE),
      "DRIVING",
      K90),
    K90),
IF(K90="PLUGGED_IN",
  IFERROR(
    IF(M91&lt;VLOOKUP(I91,PLUGGED_IN_TO_DRIVING[],3,FALSE),
      "DRIVING",
      K90),
    K90),
IF(K90="DRIVING",
  IFERROR(
    IF(M91&lt;VLOOKUP(I91,DRIVING_TO_PARKED[],3,FALSE),
      "PARKED",
    IFERROR(
      IF(M91&lt;VLOOKUP(I91,DRIVING_TO_PLUGGED_IN[],3,FALSE),
        "PLUGGED_IN",
        K90),
      K90)),
    IFERROR(
      IF(M91&lt;VLOOKUP(I91,DRIVING_TO_PLUGGED_IN[],3,FALSE),
        "PLUGGED_IN",
        K90),
      K90)),
IF(K90="PARKED",
  IFERROR(
    IF(M91&lt;VLOOKUP(I91,PARKED_TO_DRIVING[],3,FALSE),
      "DRIVING",
      K90),
    K90),
  K90)))))</f>
        <v>PLUGGED_IDLE</v>
      </c>
      <c r="L91" s="19">
        <f t="shared" si="3"/>
        <v>0.8</v>
      </c>
      <c r="M91" s="17">
        <f t="shared" si="2"/>
        <v>0.1018895588</v>
      </c>
    </row>
    <row r="92" ht="22.5" customHeight="1">
      <c r="I92" s="15">
        <v>46.0</v>
      </c>
      <c r="J92" s="14">
        <v>0.9583333333333334</v>
      </c>
      <c r="K92" s="18" t="str">
        <f>IF(AND(K91="PLUGGED_IN", L91&gt;=0.8),
  "PLUGGED_IDLE",
IF(K91="PLUGGED_IDLE",
  IFERROR(
    IF(M92&lt;VLOOKUP(I92,PLUGGED_IN_TO_DRIVING[],3,FALSE),
      "DRIVING",
      K91),
    K91),
IF(K91="PLUGGED_IN",
  IFERROR(
    IF(M92&lt;VLOOKUP(I92,PLUGGED_IN_TO_DRIVING[],3,FALSE),
      "DRIVING",
      K91),
    K91),
IF(K91="DRIVING",
  IFERROR(
    IF(M92&lt;VLOOKUP(I92,DRIVING_TO_PARKED[],3,FALSE),
      "PARKED",
    IFERROR(
      IF(M92&lt;VLOOKUP(I92,DRIVING_TO_PLUGGED_IN[],3,FALSE),
        "PLUGGED_IN",
        K91),
      K91)),
    IFERROR(
      IF(M92&lt;VLOOKUP(I92,DRIVING_TO_PLUGGED_IN[],3,FALSE),
        "PLUGGED_IN",
        K91),
      K91)),
IF(K91="PARKED",
  IFERROR(
    IF(M92&lt;VLOOKUP(I92,PARKED_TO_DRIVING[],3,FALSE),
      "DRIVING",
      K91),
    K91),
  K91)))))</f>
        <v>PLUGGED_IDLE</v>
      </c>
      <c r="L92" s="19">
        <f t="shared" si="3"/>
        <v>0.8</v>
      </c>
      <c r="M92" s="17">
        <f t="shared" si="2"/>
        <v>0.497538117</v>
      </c>
    </row>
    <row r="93" ht="22.5" customHeight="1">
      <c r="I93" s="15">
        <v>47.0</v>
      </c>
      <c r="J93" s="14">
        <v>0.9791666666666666</v>
      </c>
      <c r="K93" s="18" t="str">
        <f>IF(AND(K92="PLUGGED_IN", L92&gt;=0.8),
  "PLUGGED_IDLE",
IF(K92="PLUGGED_IDLE",
  IFERROR(
    IF(M93&lt;VLOOKUP(I93,PLUGGED_IN_TO_DRIVING[],3,FALSE),
      "DRIVING",
      K92),
    K92),
IF(K92="PLUGGED_IN",
  IFERROR(
    IF(M93&lt;VLOOKUP(I93,PLUGGED_IN_TO_DRIVING[],3,FALSE),
      "DRIVING",
      K92),
    K92),
IF(K92="DRIVING",
  IFERROR(
    IF(M93&lt;VLOOKUP(I93,DRIVING_TO_PARKED[],3,FALSE),
      "PARKED",
    IFERROR(
      IF(M93&lt;VLOOKUP(I93,DRIVING_TO_PLUGGED_IN[],3,FALSE),
        "PLUGGED_IN",
        K92),
      K92)),
    IFERROR(
      IF(M93&lt;VLOOKUP(I93,DRIVING_TO_PLUGGED_IN[],3,FALSE),
        "PLUGGED_IN",
        K92),
      K92)),
IF(K92="PARKED",
  IFERROR(
    IF(M93&lt;VLOOKUP(I93,PARKED_TO_DRIVING[],3,FALSE),
      "DRIVING",
      K92),
    K92),
  K92)))))</f>
        <v>PLUGGED_IDLE</v>
      </c>
      <c r="L93" s="19">
        <f t="shared" si="3"/>
        <v>0.8</v>
      </c>
      <c r="M93" s="17">
        <f t="shared" si="2"/>
        <v>0.6854614956</v>
      </c>
    </row>
    <row r="94" ht="22.5" customHeight="1">
      <c r="I94" s="15"/>
      <c r="J94" s="14"/>
      <c r="M94" s="17"/>
    </row>
  </sheetData>
  <dataValidations>
    <dataValidation type="custom" allowBlank="1" showDropDown="1" sqref="J23:J28 O23:O29 J33:J38 O33:O41 J46:J94">
      <formula1>OR(TIMEVALUE(TEXT(J23, "hh:mm:ss"))=J23, AND(ISNUMBER(J23), LEFT(CELL("format", J23))="D"))</formula1>
    </dataValidation>
    <dataValidation type="custom" allowBlank="1" showDropDown="1" sqref="N33:N41 P33:Q41 I46:I94 M46:M94">
      <formula1>AND(ISNUMBER(I33),(NOT(OR(NOT(ISERROR(DATEVALUE(I33))), AND(ISNUMBER(I33), LEFT(CELL("format", I33))="D")))))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A2" s="2" t="s">
        <v>16</v>
      </c>
      <c r="B2" s="2">
        <v>40.0</v>
      </c>
      <c r="C2" s="2">
        <v>9435.0</v>
      </c>
      <c r="D2" s="2">
        <v>60.0</v>
      </c>
      <c r="E2" s="2">
        <v>3.5</v>
      </c>
      <c r="F2" s="2">
        <v>1.0</v>
      </c>
      <c r="G2" s="2">
        <v>7.0</v>
      </c>
      <c r="H2" s="3">
        <v>0.75</v>
      </c>
      <c r="I2" s="3">
        <v>0.2916666666666667</v>
      </c>
      <c r="J2" s="4">
        <v>0.8</v>
      </c>
      <c r="K2" s="2">
        <v>2696.0</v>
      </c>
      <c r="L2" s="2">
        <v>7.0</v>
      </c>
      <c r="M2" s="4">
        <v>0.68</v>
      </c>
      <c r="N2" s="4">
        <v>0.12</v>
      </c>
      <c r="O2" s="2">
        <v>1.0</v>
      </c>
    </row>
    <row r="9"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</row>
    <row r="10">
      <c r="E10" s="2" t="s">
        <v>16</v>
      </c>
      <c r="F10" s="2">
        <v>40.0</v>
      </c>
      <c r="G10" s="2">
        <v>9435.0</v>
      </c>
      <c r="H10" s="2">
        <v>60.0</v>
      </c>
      <c r="I10" s="2">
        <v>3.5</v>
      </c>
      <c r="J10" s="2">
        <v>1.0</v>
      </c>
      <c r="K10" s="2">
        <v>7.0</v>
      </c>
      <c r="L10" s="3">
        <v>0.75</v>
      </c>
      <c r="M10" s="3">
        <v>0.2916666666666667</v>
      </c>
      <c r="N10" s="4">
        <v>0.8</v>
      </c>
      <c r="O10" s="2">
        <v>2696.0</v>
      </c>
      <c r="P10" s="2">
        <v>7.0</v>
      </c>
      <c r="Q10" s="4">
        <v>0.68</v>
      </c>
      <c r="R10" s="4">
        <v>0.12</v>
      </c>
      <c r="S10" s="2">
        <v>1.0</v>
      </c>
    </row>
  </sheetData>
  <drawing r:id="rId1"/>
</worksheet>
</file>